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\Downloads\gpa\"/>
    </mc:Choice>
  </mc:AlternateContent>
  <xr:revisionPtr revIDLastSave="0" documentId="13_ncr:1_{F647E23D-70CF-4A69-9C05-6F07348282D0}" xr6:coauthVersionLast="47" xr6:coauthVersionMax="47" xr10:uidLastSave="{00000000-0000-0000-0000-000000000000}"/>
  <bookViews>
    <workbookView xWindow="-108" yWindow="-108" windowWidth="20376" windowHeight="12240" xr2:uid="{00000000-000D-0000-FFFF-FFFF00000000}"/>
  </bookViews>
  <sheets>
    <sheet name="Sheet1" sheetId="1" r:id="rId1"/>
    <sheet name="设置" sheetId="7" r:id="rId2"/>
    <sheet name="计算区" sheetId="2" r:id="rId3"/>
    <sheet name="预测" sheetId="3" r:id="rId4"/>
    <sheet name="预测 (2)" sheetId="5" state="hidden" r:id="rId5"/>
    <sheet name="计算区 预测" sheetId="4" r:id="rId6"/>
    <sheet name="计算区 预测 (2)" sheetId="6" state="hidden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3" l="1"/>
  <c r="B11" i="3" s="1"/>
  <c r="G11" i="6" s="1"/>
  <c r="E10" i="3"/>
  <c r="E9" i="3"/>
  <c r="E8" i="3"/>
  <c r="B8" i="3" s="1"/>
  <c r="G8" i="6" s="1"/>
  <c r="K8" i="6" s="1"/>
  <c r="E7" i="3"/>
  <c r="E6" i="3"/>
  <c r="B6" i="3" s="1"/>
  <c r="B6" i="4" s="1"/>
  <c r="E5" i="3"/>
  <c r="E4" i="3"/>
  <c r="B4" i="3" s="1"/>
  <c r="G4" i="6" s="1"/>
  <c r="K4" i="6" s="1"/>
  <c r="E3" i="3"/>
  <c r="B3" i="3" s="1"/>
  <c r="G3" i="6" s="1"/>
  <c r="E2" i="3"/>
  <c r="F3" i="2"/>
  <c r="F4" i="2"/>
  <c r="F5" i="2"/>
  <c r="F6" i="2"/>
  <c r="F7" i="2"/>
  <c r="F8" i="2"/>
  <c r="F9" i="2"/>
  <c r="F10" i="2"/>
  <c r="F11" i="2"/>
  <c r="F2" i="2"/>
  <c r="F12" i="4"/>
  <c r="I11" i="4"/>
  <c r="I10" i="4"/>
  <c r="I9" i="4"/>
  <c r="I8" i="4"/>
  <c r="I7" i="4"/>
  <c r="I6" i="4"/>
  <c r="I5" i="4"/>
  <c r="I4" i="4"/>
  <c r="I3" i="4"/>
  <c r="I2" i="4"/>
  <c r="I11" i="6"/>
  <c r="I10" i="6"/>
  <c r="I9" i="6"/>
  <c r="I8" i="6"/>
  <c r="I7" i="6"/>
  <c r="I6" i="6"/>
  <c r="I5" i="6"/>
  <c r="I4" i="6"/>
  <c r="I3" i="6"/>
  <c r="I2" i="6"/>
  <c r="B10" i="3"/>
  <c r="B10" i="4" s="1"/>
  <c r="B7" i="3"/>
  <c r="G7" i="6" s="1"/>
  <c r="B2" i="3"/>
  <c r="B2" i="4" s="1"/>
  <c r="D3" i="5"/>
  <c r="D4" i="5"/>
  <c r="D5" i="5"/>
  <c r="D6" i="5"/>
  <c r="D7" i="5"/>
  <c r="D8" i="5"/>
  <c r="D9" i="5"/>
  <c r="D10" i="5"/>
  <c r="D11" i="5"/>
  <c r="D2" i="5"/>
  <c r="B3" i="1"/>
  <c r="G3" i="2" s="1"/>
  <c r="B4" i="1"/>
  <c r="B5" i="1"/>
  <c r="B6" i="1"/>
  <c r="B6" i="2" s="1"/>
  <c r="B7" i="1"/>
  <c r="H7" i="1" s="1"/>
  <c r="G7" i="1" s="1"/>
  <c r="B8" i="1"/>
  <c r="B9" i="1"/>
  <c r="B10" i="1"/>
  <c r="B10" i="2" s="1"/>
  <c r="B11" i="1"/>
  <c r="G11" i="2" s="1"/>
  <c r="B2" i="1"/>
  <c r="I4" i="2"/>
  <c r="I3" i="2"/>
  <c r="I5" i="2"/>
  <c r="I6" i="2"/>
  <c r="I7" i="2"/>
  <c r="I8" i="2"/>
  <c r="I9" i="2"/>
  <c r="I10" i="2"/>
  <c r="I11" i="2"/>
  <c r="I2" i="2"/>
  <c r="F12" i="2" l="1"/>
  <c r="H3" i="1"/>
  <c r="G3" i="1" s="1"/>
  <c r="B8" i="4"/>
  <c r="B4" i="4"/>
  <c r="C3" i="1"/>
  <c r="C3" i="2" s="1"/>
  <c r="B11" i="4"/>
  <c r="B7" i="4"/>
  <c r="B3" i="4"/>
  <c r="G11" i="4"/>
  <c r="K11" i="4" s="1"/>
  <c r="L11" i="4" s="1"/>
  <c r="G3" i="4"/>
  <c r="K3" i="4" s="1"/>
  <c r="L3" i="4" s="1"/>
  <c r="G7" i="4"/>
  <c r="K7" i="4" s="1"/>
  <c r="L7" i="4" s="1"/>
  <c r="G9" i="2"/>
  <c r="K9" i="2" s="1"/>
  <c r="L9" i="2" s="1"/>
  <c r="Q9" i="1" s="1"/>
  <c r="AF25" i="1" s="1"/>
  <c r="G9" i="4"/>
  <c r="G5" i="2"/>
  <c r="K5" i="2" s="1"/>
  <c r="L5" i="2" s="1"/>
  <c r="Q5" i="1" s="1"/>
  <c r="AF21" i="1" s="1"/>
  <c r="G5" i="4"/>
  <c r="C2" i="1"/>
  <c r="G2" i="4"/>
  <c r="H8" i="1"/>
  <c r="G8" i="1" s="1"/>
  <c r="G8" i="4"/>
  <c r="H4" i="1"/>
  <c r="G4" i="1" s="1"/>
  <c r="G4" i="4"/>
  <c r="G6" i="4"/>
  <c r="G10" i="4"/>
  <c r="K11" i="2"/>
  <c r="L11" i="2" s="1"/>
  <c r="Q11" i="1" s="1"/>
  <c r="AF27" i="1" s="1"/>
  <c r="K3" i="2"/>
  <c r="L3" i="2" s="1"/>
  <c r="Q3" i="1" s="1"/>
  <c r="AF19" i="1" s="1"/>
  <c r="L4" i="6"/>
  <c r="O4" i="6" s="1"/>
  <c r="M4" i="6"/>
  <c r="N4" i="6"/>
  <c r="L8" i="6"/>
  <c r="O8" i="6" s="1"/>
  <c r="M8" i="6"/>
  <c r="N8" i="6"/>
  <c r="K3" i="6"/>
  <c r="K7" i="6"/>
  <c r="K11" i="6"/>
  <c r="G2" i="6"/>
  <c r="K2" i="6" s="1"/>
  <c r="G6" i="6"/>
  <c r="K6" i="6" s="1"/>
  <c r="G10" i="6"/>
  <c r="K10" i="6" s="1"/>
  <c r="B11" i="2"/>
  <c r="B3" i="2"/>
  <c r="H8" i="3"/>
  <c r="C8" i="3"/>
  <c r="C8" i="4" s="1"/>
  <c r="H4" i="3"/>
  <c r="C4" i="3"/>
  <c r="C4" i="4" s="1"/>
  <c r="H3" i="3"/>
  <c r="F3" i="3"/>
  <c r="C3" i="3"/>
  <c r="C3" i="4" s="1"/>
  <c r="H7" i="3"/>
  <c r="F7" i="3"/>
  <c r="C7" i="3"/>
  <c r="C7" i="4" s="1"/>
  <c r="H11" i="3"/>
  <c r="F11" i="3"/>
  <c r="C11" i="3"/>
  <c r="C11" i="4" s="1"/>
  <c r="H6" i="3"/>
  <c r="H10" i="3"/>
  <c r="B9" i="3"/>
  <c r="B9" i="4" s="1"/>
  <c r="B5" i="3"/>
  <c r="B5" i="4" s="1"/>
  <c r="C6" i="3"/>
  <c r="C6" i="4" s="1"/>
  <c r="C10" i="3"/>
  <c r="C10" i="4" s="1"/>
  <c r="F4" i="3"/>
  <c r="F8" i="3"/>
  <c r="H2" i="3"/>
  <c r="F2" i="3"/>
  <c r="C2" i="3"/>
  <c r="C2" i="4" s="1"/>
  <c r="F6" i="3"/>
  <c r="G8" i="2"/>
  <c r="K8" i="2" s="1"/>
  <c r="L8" i="2" s="1"/>
  <c r="Q8" i="1" s="1"/>
  <c r="AF24" i="1" s="1"/>
  <c r="F10" i="3"/>
  <c r="G7" i="2"/>
  <c r="K7" i="2" s="1"/>
  <c r="L7" i="2" s="1"/>
  <c r="Q7" i="1" s="1"/>
  <c r="AF23" i="1" s="1"/>
  <c r="C11" i="1"/>
  <c r="B7" i="2"/>
  <c r="H11" i="1"/>
  <c r="G11" i="1" s="1"/>
  <c r="C7" i="1"/>
  <c r="B4" i="2"/>
  <c r="B8" i="2"/>
  <c r="C4" i="1"/>
  <c r="B5" i="2"/>
  <c r="C8" i="1"/>
  <c r="G4" i="2"/>
  <c r="K4" i="2" s="1"/>
  <c r="L4" i="2" s="1"/>
  <c r="Q4" i="1" s="1"/>
  <c r="AF20" i="1" s="1"/>
  <c r="B9" i="2"/>
  <c r="H10" i="1"/>
  <c r="I10" i="1" s="1"/>
  <c r="L10" i="1" s="1"/>
  <c r="H6" i="1"/>
  <c r="I6" i="1" s="1"/>
  <c r="L6" i="1" s="1"/>
  <c r="C6" i="1"/>
  <c r="H9" i="1"/>
  <c r="I9" i="1" s="1"/>
  <c r="L9" i="1" s="1"/>
  <c r="H5" i="1"/>
  <c r="I5" i="1" s="1"/>
  <c r="B5" i="5" s="1"/>
  <c r="B5" i="6" s="1"/>
  <c r="C9" i="1"/>
  <c r="G10" i="2"/>
  <c r="K10" i="2" s="1"/>
  <c r="L10" i="2" s="1"/>
  <c r="Q10" i="1" s="1"/>
  <c r="AF26" i="1" s="1"/>
  <c r="G6" i="2"/>
  <c r="K6" i="2" s="1"/>
  <c r="L6" i="2" s="1"/>
  <c r="Q6" i="1" s="1"/>
  <c r="AF22" i="1" s="1"/>
  <c r="C10" i="1"/>
  <c r="C5" i="1"/>
  <c r="B2" i="2"/>
  <c r="G2" i="2"/>
  <c r="B13" i="1"/>
  <c r="H2" i="1"/>
  <c r="G2" i="1" s="1"/>
  <c r="I7" i="1"/>
  <c r="L7" i="1" s="1"/>
  <c r="I3" i="1"/>
  <c r="B3" i="5" s="1"/>
  <c r="B3" i="6" s="1"/>
  <c r="I8" i="1" l="1"/>
  <c r="J8" i="1" s="1"/>
  <c r="K8" i="1" s="1"/>
  <c r="B14" i="4"/>
  <c r="I4" i="1"/>
  <c r="J4" i="1" s="1"/>
  <c r="K4" i="1" s="1"/>
  <c r="C5" i="2"/>
  <c r="C9" i="2"/>
  <c r="H6" i="2"/>
  <c r="H6" i="4"/>
  <c r="C8" i="2"/>
  <c r="C11" i="2"/>
  <c r="K10" i="4"/>
  <c r="L10" i="4" s="1"/>
  <c r="C2" i="2"/>
  <c r="C10" i="2"/>
  <c r="H10" i="2"/>
  <c r="H10" i="4"/>
  <c r="C7" i="2"/>
  <c r="K8" i="4"/>
  <c r="L8" i="4" s="1"/>
  <c r="K9" i="4"/>
  <c r="L9" i="4" s="1"/>
  <c r="H9" i="2"/>
  <c r="H9" i="4"/>
  <c r="C4" i="2"/>
  <c r="K6" i="4"/>
  <c r="L6" i="4" s="1"/>
  <c r="K4" i="4"/>
  <c r="L4" i="4" s="1"/>
  <c r="K5" i="4"/>
  <c r="L5" i="4" s="1"/>
  <c r="H7" i="2"/>
  <c r="H7" i="4"/>
  <c r="C6" i="2"/>
  <c r="K2" i="4"/>
  <c r="L2" i="4" s="1"/>
  <c r="C3" i="5"/>
  <c r="C5" i="5"/>
  <c r="M3" i="6"/>
  <c r="L3" i="6"/>
  <c r="O3" i="6" s="1"/>
  <c r="N3" i="6"/>
  <c r="N6" i="6"/>
  <c r="M6" i="6"/>
  <c r="L6" i="6"/>
  <c r="O6" i="6" s="1"/>
  <c r="F5" i="3"/>
  <c r="G5" i="6"/>
  <c r="K5" i="6" s="1"/>
  <c r="N10" i="6"/>
  <c r="M10" i="6"/>
  <c r="L10" i="6"/>
  <c r="O10" i="6" s="1"/>
  <c r="N2" i="6"/>
  <c r="M2" i="6"/>
  <c r="L2" i="6"/>
  <c r="O2" i="6" s="1"/>
  <c r="M11" i="6"/>
  <c r="L11" i="6"/>
  <c r="O11" i="6" s="1"/>
  <c r="N11" i="6"/>
  <c r="G9" i="6"/>
  <c r="K9" i="6" s="1"/>
  <c r="M7" i="6"/>
  <c r="L7" i="6"/>
  <c r="O7" i="6" s="1"/>
  <c r="N7" i="6"/>
  <c r="H5" i="3"/>
  <c r="F9" i="3"/>
  <c r="C9" i="3"/>
  <c r="C9" i="4" s="1"/>
  <c r="B13" i="3"/>
  <c r="C5" i="3"/>
  <c r="C5" i="4" s="1"/>
  <c r="H9" i="3"/>
  <c r="L5" i="1"/>
  <c r="I11" i="1"/>
  <c r="L11" i="1" s="1"/>
  <c r="G6" i="1"/>
  <c r="B10" i="5"/>
  <c r="B10" i="6" s="1"/>
  <c r="G5" i="1"/>
  <c r="J10" i="1"/>
  <c r="B9" i="5"/>
  <c r="B9" i="6" s="1"/>
  <c r="J5" i="1"/>
  <c r="B14" i="2"/>
  <c r="B14" i="1" s="1"/>
  <c r="J9" i="1"/>
  <c r="G9" i="1"/>
  <c r="C13" i="1"/>
  <c r="J6" i="1"/>
  <c r="G10" i="1"/>
  <c r="B6" i="5"/>
  <c r="B6" i="6" s="1"/>
  <c r="I2" i="1"/>
  <c r="B2" i="5" s="1"/>
  <c r="B2" i="6" s="1"/>
  <c r="K2" i="2"/>
  <c r="L2" i="2" s="1"/>
  <c r="Q2" i="1" s="1"/>
  <c r="AF18" i="1" s="1"/>
  <c r="L8" i="1"/>
  <c r="B4" i="5"/>
  <c r="B4" i="6" s="1"/>
  <c r="J7" i="1"/>
  <c r="K7" i="1" s="1"/>
  <c r="B7" i="5"/>
  <c r="B7" i="6" s="1"/>
  <c r="L3" i="1"/>
  <c r="J3" i="1"/>
  <c r="K3" i="1" s="1"/>
  <c r="B8" i="5" l="1"/>
  <c r="B8" i="6" s="1"/>
  <c r="C14" i="2"/>
  <c r="C14" i="1" s="1"/>
  <c r="L4" i="1"/>
  <c r="H4" i="2" s="1"/>
  <c r="H3" i="2"/>
  <c r="H3" i="4"/>
  <c r="H11" i="2"/>
  <c r="H11" i="4"/>
  <c r="H5" i="2"/>
  <c r="H5" i="4"/>
  <c r="C5" i="6"/>
  <c r="H8" i="2"/>
  <c r="H8" i="4"/>
  <c r="C3" i="6"/>
  <c r="J3" i="4"/>
  <c r="C14" i="4"/>
  <c r="B11" i="5"/>
  <c r="B11" i="6" s="1"/>
  <c r="K5" i="1"/>
  <c r="J11" i="1"/>
  <c r="K11" i="1" s="1"/>
  <c r="C7" i="5"/>
  <c r="C6" i="5"/>
  <c r="J6" i="2" s="1"/>
  <c r="M6" i="2" s="1"/>
  <c r="C9" i="5"/>
  <c r="C10" i="5"/>
  <c r="C4" i="5"/>
  <c r="C2" i="5"/>
  <c r="F13" i="3"/>
  <c r="N9" i="6"/>
  <c r="L9" i="6"/>
  <c r="O9" i="6" s="1"/>
  <c r="M9" i="6"/>
  <c r="L5" i="6"/>
  <c r="O5" i="6" s="1"/>
  <c r="N5" i="6"/>
  <c r="M5" i="6"/>
  <c r="K10" i="1"/>
  <c r="K9" i="1"/>
  <c r="B14" i="5"/>
  <c r="J2" i="1"/>
  <c r="K2" i="1" s="1"/>
  <c r="C13" i="3"/>
  <c r="K6" i="1"/>
  <c r="L2" i="1"/>
  <c r="C8" i="5" l="1"/>
  <c r="C8" i="6" s="1"/>
  <c r="B14" i="6"/>
  <c r="J5" i="4"/>
  <c r="J3" i="2"/>
  <c r="M3" i="2" s="1"/>
  <c r="N3" i="2" s="1"/>
  <c r="Q3" i="2" s="1"/>
  <c r="J5" i="2"/>
  <c r="M5" i="2" s="1"/>
  <c r="O5" i="2" s="1"/>
  <c r="H4" i="4"/>
  <c r="M3" i="4"/>
  <c r="P3" i="4" s="1"/>
  <c r="S3" i="4" s="1"/>
  <c r="C4" i="6"/>
  <c r="J4" i="4"/>
  <c r="C10" i="6"/>
  <c r="J10" i="4"/>
  <c r="M10" i="4" s="1"/>
  <c r="C7" i="6"/>
  <c r="J7" i="4"/>
  <c r="M7" i="4" s="1"/>
  <c r="B13" i="5"/>
  <c r="C2" i="6"/>
  <c r="J2" i="4"/>
  <c r="C9" i="6"/>
  <c r="J9" i="4"/>
  <c r="M9" i="4" s="1"/>
  <c r="M5" i="4"/>
  <c r="H2" i="2"/>
  <c r="H2" i="4"/>
  <c r="C11" i="5"/>
  <c r="C6" i="6"/>
  <c r="J6" i="4"/>
  <c r="M6" i="4" s="1"/>
  <c r="J10" i="2"/>
  <c r="M10" i="2" s="1"/>
  <c r="N10" i="2" s="1"/>
  <c r="Q10" i="2" s="1"/>
  <c r="J7" i="2"/>
  <c r="M7" i="2" s="1"/>
  <c r="O7" i="2" s="1"/>
  <c r="J4" i="2"/>
  <c r="M4" i="2" s="1"/>
  <c r="P4" i="2" s="1"/>
  <c r="P4" i="1" s="1"/>
  <c r="AE20" i="1" s="1"/>
  <c r="J9" i="2"/>
  <c r="M9" i="2" s="1"/>
  <c r="P9" i="2" s="1"/>
  <c r="P9" i="1" s="1"/>
  <c r="AE25" i="1" s="1"/>
  <c r="J2" i="2"/>
  <c r="C14" i="3"/>
  <c r="B14" i="3"/>
  <c r="N6" i="2"/>
  <c r="Q6" i="2" s="1"/>
  <c r="O6" i="2"/>
  <c r="P6" i="2"/>
  <c r="S6" i="2" s="1"/>
  <c r="R6" i="1" s="1"/>
  <c r="C13" i="5" l="1"/>
  <c r="J8" i="4"/>
  <c r="M8" i="4" s="1"/>
  <c r="J8" i="2"/>
  <c r="M8" i="2" s="1"/>
  <c r="O8" i="2" s="1"/>
  <c r="M4" i="4"/>
  <c r="N4" i="4" s="1"/>
  <c r="Q4" i="4" s="1"/>
  <c r="N3" i="4"/>
  <c r="Q3" i="4" s="1"/>
  <c r="P3" i="2"/>
  <c r="S3" i="2" s="1"/>
  <c r="R3" i="1" s="1"/>
  <c r="AG19" i="1" s="1"/>
  <c r="O3" i="4"/>
  <c r="P5" i="2"/>
  <c r="P5" i="1" s="1"/>
  <c r="AE21" i="1" s="1"/>
  <c r="O3" i="2"/>
  <c r="N5" i="2"/>
  <c r="Q5" i="2" s="1"/>
  <c r="P10" i="2"/>
  <c r="P10" i="1" s="1"/>
  <c r="AE26" i="1" s="1"/>
  <c r="C11" i="6"/>
  <c r="C14" i="6" s="1"/>
  <c r="J11" i="4"/>
  <c r="M11" i="4" s="1"/>
  <c r="J11" i="2"/>
  <c r="M11" i="2" s="1"/>
  <c r="P7" i="4"/>
  <c r="S7" i="4" s="1"/>
  <c r="O7" i="4"/>
  <c r="N7" i="4"/>
  <c r="Q7" i="4" s="1"/>
  <c r="O8" i="4"/>
  <c r="N8" i="4"/>
  <c r="Q8" i="4" s="1"/>
  <c r="P8" i="4"/>
  <c r="S8" i="4" s="1"/>
  <c r="M2" i="4"/>
  <c r="O6" i="4"/>
  <c r="N6" i="4"/>
  <c r="Q6" i="4" s="1"/>
  <c r="P6" i="4"/>
  <c r="S6" i="4" s="1"/>
  <c r="O10" i="4"/>
  <c r="N10" i="4"/>
  <c r="Q10" i="4" s="1"/>
  <c r="P10" i="4"/>
  <c r="S10" i="4" s="1"/>
  <c r="O4" i="4"/>
  <c r="M2" i="2"/>
  <c r="O2" i="2" s="1"/>
  <c r="P5" i="4"/>
  <c r="S5" i="4" s="1"/>
  <c r="O5" i="4"/>
  <c r="N5" i="4"/>
  <c r="Q5" i="4" s="1"/>
  <c r="P9" i="4"/>
  <c r="S9" i="4" s="1"/>
  <c r="O9" i="4"/>
  <c r="N9" i="4"/>
  <c r="Q9" i="4" s="1"/>
  <c r="P7" i="2"/>
  <c r="S7" i="2" s="1"/>
  <c r="R7" i="1" s="1"/>
  <c r="AG23" i="1" s="1"/>
  <c r="N7" i="2"/>
  <c r="Q7" i="2" s="1"/>
  <c r="O10" i="2"/>
  <c r="N8" i="2"/>
  <c r="Q8" i="2" s="1"/>
  <c r="S4" i="2"/>
  <c r="R4" i="1" s="1"/>
  <c r="AG20" i="1" s="1"/>
  <c r="S9" i="2"/>
  <c r="R9" i="1" s="1"/>
  <c r="AG25" i="1" s="1"/>
  <c r="C14" i="5"/>
  <c r="O4" i="2"/>
  <c r="O9" i="2"/>
  <c r="N4" i="2"/>
  <c r="Q4" i="2" s="1"/>
  <c r="N9" i="2"/>
  <c r="Q9" i="2" s="1"/>
  <c r="P8" i="2"/>
  <c r="P6" i="1"/>
  <c r="AE22" i="1" s="1"/>
  <c r="AG22" i="1"/>
  <c r="P4" i="4" l="1"/>
  <c r="S4" i="4" s="1"/>
  <c r="S5" i="2"/>
  <c r="R5" i="1" s="1"/>
  <c r="AG21" i="1" s="1"/>
  <c r="P3" i="1"/>
  <c r="AE19" i="1" s="1"/>
  <c r="N2" i="2"/>
  <c r="Q2" i="2" s="1"/>
  <c r="S10" i="2"/>
  <c r="R10" i="1" s="1"/>
  <c r="AG26" i="1" s="1"/>
  <c r="P2" i="2"/>
  <c r="P2" i="1" s="1"/>
  <c r="AE18" i="1" s="1"/>
  <c r="N11" i="2"/>
  <c r="Q11" i="2" s="1"/>
  <c r="O11" i="2"/>
  <c r="P11" i="2"/>
  <c r="P7" i="1"/>
  <c r="AE23" i="1" s="1"/>
  <c r="O2" i="4"/>
  <c r="N2" i="4"/>
  <c r="Q2" i="4" s="1"/>
  <c r="P2" i="4"/>
  <c r="S2" i="4" s="1"/>
  <c r="P11" i="4"/>
  <c r="S11" i="4" s="1"/>
  <c r="O11" i="4"/>
  <c r="N11" i="4"/>
  <c r="Q11" i="4" s="1"/>
  <c r="S8" i="2"/>
  <c r="R8" i="1" s="1"/>
  <c r="P8" i="1"/>
  <c r="AE24" i="1" s="1"/>
  <c r="S2" i="2" l="1"/>
  <c r="R2" i="1" s="1"/>
  <c r="AG18" i="1" s="1"/>
  <c r="P11" i="1"/>
  <c r="D20" i="1" s="1"/>
  <c r="S11" i="2"/>
  <c r="R11" i="1" s="1"/>
  <c r="AG27" i="1" s="1"/>
  <c r="AG24" i="1"/>
  <c r="AE27" i="1" l="1"/>
</calcChain>
</file>

<file path=xl/sharedStrings.xml><?xml version="1.0" encoding="utf-8"?>
<sst xmlns="http://schemas.openxmlformats.org/spreadsheetml/2006/main" count="112" uniqueCount="31">
  <si>
    <t>语文</t>
    <phoneticPr fontId="1" type="noConversion"/>
  </si>
  <si>
    <t>数学</t>
    <phoneticPr fontId="1" type="noConversion"/>
  </si>
  <si>
    <t>阅读</t>
    <phoneticPr fontId="1" type="noConversion"/>
  </si>
  <si>
    <t>写作</t>
    <phoneticPr fontId="1" type="noConversion"/>
  </si>
  <si>
    <t>物理</t>
    <phoneticPr fontId="1" type="noConversion"/>
  </si>
  <si>
    <t>化学</t>
    <phoneticPr fontId="1" type="noConversion"/>
  </si>
  <si>
    <t>生物</t>
    <phoneticPr fontId="1" type="noConversion"/>
  </si>
  <si>
    <t>social study</t>
    <phoneticPr fontId="1" type="noConversion"/>
  </si>
  <si>
    <t>sdp</t>
    <phoneticPr fontId="1" type="noConversion"/>
  </si>
  <si>
    <t>pe</t>
    <phoneticPr fontId="1" type="noConversion"/>
  </si>
  <si>
    <t>成绩</t>
    <phoneticPr fontId="1" type="noConversion"/>
  </si>
  <si>
    <t>gpa</t>
    <phoneticPr fontId="1" type="noConversion"/>
  </si>
  <si>
    <t>average</t>
    <phoneticPr fontId="1" type="noConversion"/>
  </si>
  <si>
    <t>占比</t>
    <phoneticPr fontId="1" type="noConversion"/>
  </si>
  <si>
    <t>加权后</t>
    <phoneticPr fontId="1" type="noConversion"/>
  </si>
  <si>
    <t>进步空间指数</t>
    <phoneticPr fontId="1" type="noConversion"/>
  </si>
  <si>
    <t>提分适合度</t>
    <phoneticPr fontId="1" type="noConversion"/>
  </si>
  <si>
    <t>占位</t>
    <phoneticPr fontId="1" type="noConversion"/>
  </si>
  <si>
    <t>指数</t>
    <phoneticPr fontId="1" type="noConversion"/>
  </si>
  <si>
    <t>距离下次更换gpa</t>
    <phoneticPr fontId="1" type="noConversion"/>
  </si>
  <si>
    <t>综合指数</t>
    <phoneticPr fontId="1" type="noConversion"/>
  </si>
  <si>
    <t>下次分数</t>
    <phoneticPr fontId="1" type="noConversion"/>
  </si>
  <si>
    <t>gpa差距</t>
    <phoneticPr fontId="1" type="noConversion"/>
  </si>
  <si>
    <t>提分后gpa变化</t>
    <phoneticPr fontId="1" type="noConversion"/>
  </si>
  <si>
    <t>长期</t>
    <phoneticPr fontId="1" type="noConversion"/>
  </si>
  <si>
    <t>长期指数</t>
    <phoneticPr fontId="1" type="noConversion"/>
  </si>
  <si>
    <t>原本</t>
    <phoneticPr fontId="1" type="noConversion"/>
  </si>
  <si>
    <t>变化</t>
    <phoneticPr fontId="1" type="noConversion"/>
  </si>
  <si>
    <t>提分容易度</t>
    <phoneticPr fontId="1" type="noConversion"/>
  </si>
  <si>
    <t>科目难度</t>
    <phoneticPr fontId="1" type="noConversion"/>
  </si>
  <si>
    <t>科目的难度（假设你所有科目分数一样，比如复习sdp10天可以上升一分，那么假设复习语文5天可以上升一分，复习数学2天可以上升一分，语文的难度就是5，sdp难度就是10，数学难度就是2。）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</si>
</sst>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48"/>
      <color theme="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2" fillId="0" borderId="0" xfId="0" applyFont="1"/>
  </cellXfs>
  <cellStyles count="1">
    <cellStyle name="常规" xfId="0" builtinId="0"/>
  </cellStyles>
  <dxfs count="31"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各科提分适合度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Sheet1!$M$1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Sheet1!$A$2:$A$11</c:f>
              <c:strCache>
                <c:ptCount val="10"/>
                <c:pt idx="0">
                  <c:v>语文</c:v>
                </c:pt>
                <c:pt idx="1">
                  <c:v>数学</c:v>
                </c:pt>
                <c:pt idx="2">
                  <c:v>阅读</c:v>
                </c:pt>
                <c:pt idx="3">
                  <c:v>写作</c:v>
                </c:pt>
                <c:pt idx="4">
                  <c:v>物理</c:v>
                </c:pt>
                <c:pt idx="5">
                  <c:v>化学</c:v>
                </c:pt>
                <c:pt idx="6">
                  <c:v>生物</c:v>
                </c:pt>
                <c:pt idx="7">
                  <c:v>social study</c:v>
                </c:pt>
                <c:pt idx="8">
                  <c:v>sdp</c:v>
                </c:pt>
                <c:pt idx="9">
                  <c:v>pe</c:v>
                </c:pt>
              </c:strCache>
            </c:strRef>
          </c:cat>
          <c:val>
            <c:numRef>
              <c:f>Sheet1!$AE$18:$AE$27</c:f>
              <c:numCache>
                <c:formatCode>General</c:formatCode>
                <c:ptCount val="10"/>
                <c:pt idx="0">
                  <c:v>163.13491349187029</c:v>
                </c:pt>
                <c:pt idx="1">
                  <c:v>66.430414720969495</c:v>
                </c:pt>
                <c:pt idx="2">
                  <c:v>65.597256040172894</c:v>
                </c:pt>
                <c:pt idx="3">
                  <c:v>76.157731058639087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32.924155266308659</c:v>
                </c:pt>
                <c:pt idx="8">
                  <c:v>38.80721582386451</c:v>
                </c:pt>
                <c:pt idx="9">
                  <c:v>36.235341863986875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5-4C23-BF31-8BBD181611A7}"/>
            </c:ext>
          </c:extLst>
        </c:ser>
        <c:ser>
          <c:idx val="1"/>
          <c:order val="1"/>
          <c:tx>
            <c:strRef>
              <c:f>Sheet1!$N$1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Sheet1!$A$2:$A$11</c:f>
              <c:strCache>
                <c:ptCount val="10"/>
                <c:pt idx="0">
                  <c:v>语文</c:v>
                </c:pt>
                <c:pt idx="1">
                  <c:v>数学</c:v>
                </c:pt>
                <c:pt idx="2">
                  <c:v>阅读</c:v>
                </c:pt>
                <c:pt idx="3">
                  <c:v>写作</c:v>
                </c:pt>
                <c:pt idx="4">
                  <c:v>物理</c:v>
                </c:pt>
                <c:pt idx="5">
                  <c:v>化学</c:v>
                </c:pt>
                <c:pt idx="6">
                  <c:v>生物</c:v>
                </c:pt>
                <c:pt idx="7">
                  <c:v>social study</c:v>
                </c:pt>
                <c:pt idx="8">
                  <c:v>sdp</c:v>
                </c:pt>
                <c:pt idx="9">
                  <c:v>pe</c:v>
                </c:pt>
              </c:strCache>
            </c:strRef>
          </c:cat>
          <c:val>
            <c:numRef>
              <c:f>Sheet1!$AF$18:$AF$27</c:f>
              <c:numCache>
                <c:formatCode>General</c:formatCode>
                <c:ptCount val="10"/>
                <c:pt idx="0">
                  <c:v>63.537238328897871</c:v>
                </c:pt>
                <c:pt idx="1">
                  <c:v>57.870498403106303</c:v>
                </c:pt>
                <c:pt idx="2">
                  <c:v>54.938210587341331</c:v>
                </c:pt>
                <c:pt idx="3">
                  <c:v>64.815157844221147</c:v>
                </c:pt>
                <c:pt idx="4">
                  <c:v>34.805722343892235</c:v>
                </c:pt>
                <c:pt idx="5">
                  <c:v>39.178126833009507</c:v>
                </c:pt>
                <c:pt idx="6">
                  <c:v>34.484664788764739</c:v>
                </c:pt>
                <c:pt idx="7">
                  <c:v>45.608818900410967</c:v>
                </c:pt>
                <c:pt idx="8">
                  <c:v>37.261884884214211</c:v>
                </c:pt>
                <c:pt idx="9">
                  <c:v>46.011673281624518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B5-4C23-BF31-8BBD181611A7}"/>
            </c:ext>
          </c:extLst>
        </c:ser>
        <c:ser>
          <c:idx val="2"/>
          <c:order val="2"/>
          <c:tx>
            <c:strRef>
              <c:f>Sheet1!$O$1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Sheet1!$A$2:$A$11</c:f>
              <c:strCache>
                <c:ptCount val="10"/>
                <c:pt idx="0">
                  <c:v>语文</c:v>
                </c:pt>
                <c:pt idx="1">
                  <c:v>数学</c:v>
                </c:pt>
                <c:pt idx="2">
                  <c:v>阅读</c:v>
                </c:pt>
                <c:pt idx="3">
                  <c:v>写作</c:v>
                </c:pt>
                <c:pt idx="4">
                  <c:v>物理</c:v>
                </c:pt>
                <c:pt idx="5">
                  <c:v>化学</c:v>
                </c:pt>
                <c:pt idx="6">
                  <c:v>生物</c:v>
                </c:pt>
                <c:pt idx="7">
                  <c:v>social study</c:v>
                </c:pt>
                <c:pt idx="8">
                  <c:v>sdp</c:v>
                </c:pt>
                <c:pt idx="9">
                  <c:v>pe</c:v>
                </c:pt>
              </c:strCache>
            </c:strRef>
          </c:cat>
          <c:val>
            <c:numRef>
              <c:f>Sheet1!$AG$18:$AG$27</c:f>
              <c:numCache>
                <c:formatCode>General</c:formatCode>
                <c:ptCount val="10"/>
                <c:pt idx="0">
                  <c:v>365.68107698502439</c:v>
                </c:pt>
                <c:pt idx="1">
                  <c:v>65.37401506981513</c:v>
                </c:pt>
                <c:pt idx="2">
                  <c:v>74.94124556906614</c:v>
                </c:pt>
                <c:pt idx="3">
                  <c:v>82.220833999941519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21.839114130663713</c:v>
                </c:pt>
                <c:pt idx="8">
                  <c:v>38.672254713264337</c:v>
                </c:pt>
                <c:pt idx="9">
                  <c:v>27.303260162741065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B5-4C23-BF31-8BBD18161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979424"/>
        <c:axId val="719978768"/>
      </c:barChart>
      <c:catAx>
        <c:axId val="71997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9978768"/>
        <c:crosses val="autoZero"/>
        <c:auto val="1"/>
        <c:lblAlgn val="ctr"/>
        <c:lblOffset val="100"/>
        <c:noMultiLvlLbl val="0"/>
      </c:catAx>
      <c:valAx>
        <c:axId val="719978768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1997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339090</xdr:colOff>
      <xdr:row>11</xdr:row>
      <xdr:rowOff>148590</xdr:rowOff>
    </xdr:from>
    <xdr:to>
      <xdr:col>18</xdr:col>
      <xdr:colOff>327660</xdr:colOff>
      <xdr:row>27</xdr:row>
      <xdr:rowOff>87630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A977AA3-90CA-C36F-298E-FFF43EF71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</xdr:colOff>
      <xdr:row>1</xdr:row>
      <xdr:rowOff>114300</xdr:rowOff>
    </xdr:from>
    <xdr:to>
      <xdr:col>17</xdr:col>
      <xdr:colOff>137160</xdr:colOff>
      <xdr:row>27</xdr:row>
      <xdr:rowOff>38100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AD3AE326-8523-0C6B-4563-59017B608900}"/>
            </a:ext>
          </a:extLst>
        </xdr:cNvPr>
        <xdr:cNvSpPr/>
      </xdr:nvSpPr>
      <xdr:spPr>
        <a:xfrm>
          <a:off x="1264920" y="289560"/>
          <a:ext cx="10767060" cy="5067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5400"/>
            <a:t>使用说明：成绩一栏需要自行填写，默认成绩是随机值。计算区不要动，占比应该是没有问题的，在下方“设置”工作表先设置难度，预测是对成绩的预测，算法是一样的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160020</xdr:colOff>
      <xdr:row>14</xdr:row>
      <xdr:rowOff>114300</xdr:rowOff>
    </xdr:from>
    <xdr:to>
      <xdr:col>8</xdr:col>
      <xdr:colOff>15240</xdr:colOff>
      <xdr:row>16</xdr:row>
      <xdr:rowOff>137160</xdr:rowOff>
    </xdr:to>
    <xdr:sp macro="[0]!还原" textlink="">
      <xdr:nvSpPr>
        <xdr:cNvPr id="3" name="矩形 2">
          <a:extLst>
            <a:ext uri="{FF2B5EF4-FFF2-40B4-BE49-F238E27FC236}">
              <a16:creationId xmlns:a16="http://schemas.microsoft.com/office/drawing/2014/main" id="{96EAD546-78E9-46F9-BFBC-2CF424B03FEE}"/>
            </a:ext>
          </a:extLst>
        </xdr:cNvPr>
        <xdr:cNvSpPr/>
      </xdr:nvSpPr>
      <xdr:spPr>
        <a:xfrm>
          <a:off x="4427220" y="2567940"/>
          <a:ext cx="464820" cy="3733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还原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2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B11"/>
    </sheetView>
  </sheetViews>
  <sheetFormatPr defaultRowHeight="13.8" x14ac:dyDescent="0.25"/>
  <cols>
    <col min="2" max="2" width="9.109375" bestFit="1" customWidth="1"/>
    <col min="4" max="4" width="23" bestFit="1" customWidth="1"/>
    <col min="6" max="6" width="48.77734375" customWidth="1"/>
    <col min="7" max="7" width="8.88671875" hidden="1" customWidth="1"/>
    <col min="8" max="8" width="12.77734375" bestFit="1" customWidth="1"/>
    <col min="9" max="9" width="8.88671875" customWidth="1"/>
    <col min="10" max="10" width="8.88671875" hidden="1" customWidth="1"/>
    <col min="11" max="11" width="8.88671875" customWidth="1"/>
    <col min="12" max="12" width="17.5546875" customWidth="1"/>
    <col min="13" max="13" width="7.77734375" hidden="1" customWidth="1"/>
    <col min="14" max="14" width="0" hidden="1" customWidth="1"/>
    <col min="15" max="15" width="22.109375" hidden="1" customWidth="1"/>
  </cols>
  <sheetData>
    <row r="1" spans="1:68" x14ac:dyDescent="0.25">
      <c r="B1" t="s">
        <v>10</v>
      </c>
      <c r="C1" t="s">
        <v>11</v>
      </c>
      <c r="D1" t="s">
        <v>13</v>
      </c>
      <c r="I1" t="s">
        <v>21</v>
      </c>
      <c r="K1" t="s">
        <v>22</v>
      </c>
      <c r="L1" t="s">
        <v>19</v>
      </c>
      <c r="P1" t="s">
        <v>18</v>
      </c>
      <c r="Q1" t="s">
        <v>25</v>
      </c>
      <c r="R1" t="s">
        <v>20</v>
      </c>
    </row>
    <row r="2" spans="1:68" x14ac:dyDescent="0.25">
      <c r="A2" t="s">
        <v>0</v>
      </c>
      <c r="B2">
        <f ca="1">RAND()*30+70</f>
        <v>82.820885242788933</v>
      </c>
      <c r="C2">
        <f ca="1">IF(B2&lt;60,0,IF(B2&lt;63,0.7,IF(B2&lt;67,1,IF(B2&lt;70,1.3,IF(B2&lt;73,1.7,IF(B2&lt;77,2,IF(B2&lt;80,2.3,IF(B2&lt;83,2.7,IF(B2&lt;87,3,IF(B2&lt;90,3.3,IF(B2&lt;93,3.7,4)))))))))))</f>
        <v>2.7</v>
      </c>
      <c r="D2">
        <v>5</v>
      </c>
      <c r="G2">
        <f ca="1">IF(H2&lt;60,0,IF(H2&lt;63,0.7,IF(H2&lt;67,1,IF(H2&lt;70,1.3,IF(H2&lt;73,1.7,IF(H2&lt;77,2,IF(H2&lt;80,2.3,IF(H2&lt;83,2.7,IF(H2&lt;87,3,IF(H2&lt;90,3.3,IF(H2&lt;93,3.7,4)))))))))))</f>
        <v>2.7</v>
      </c>
      <c r="H2">
        <f ca="1">B2</f>
        <v>82.820885242788933</v>
      </c>
      <c r="I2">
        <f ca="1">IF(H2&lt;60,60,IF(H2&lt;63,63,IF(H2&lt;67,67,IF(H2&lt;70,70,IF(H2&lt;73,73,IF(H2&lt;77,77,IF(H2&lt;80,80,IF(H2&lt;83,83,IF(H2&lt;87,87,IF(H2&lt;90,90,IF(H2&lt;93,93,100)))))))))))</f>
        <v>83</v>
      </c>
      <c r="J2">
        <f ca="1">IF(I2&lt;60,0,IF(I2&lt;63,0.7,IF(I2&lt;67,1,IF(I2&lt;70,1.3,IF(I2&lt;73,1.7,IF(I2&lt;77,2,IF(I2&lt;80,2.3,IF(I2&lt;83,2.7,IF(I2&lt;87,3,IF(I2&lt;90,3.3,IF(I2&lt;93,3.7,4)))))))))))</f>
        <v>3</v>
      </c>
      <c r="K2">
        <f ca="1">J2-G2</f>
        <v>0.29999999999999982</v>
      </c>
      <c r="L2">
        <f ca="1">I2-H2</f>
        <v>0.1791147572110674</v>
      </c>
      <c r="P2">
        <f ca="1">计算区!P2</f>
        <v>26613</v>
      </c>
      <c r="Q2">
        <f ca="1">计算区!L2</f>
        <v>4036.9806544631688</v>
      </c>
      <c r="R2">
        <f ca="1">计算区!S2</f>
        <v>133722.65006492735</v>
      </c>
    </row>
    <row r="3" spans="1:68" x14ac:dyDescent="0.25">
      <c r="A3" t="s">
        <v>1</v>
      </c>
      <c r="B3">
        <f t="shared" ref="B3:B11" ca="1" si="0">RAND()*30+70</f>
        <v>88.760904282833479</v>
      </c>
      <c r="C3">
        <f t="shared" ref="C3:C11" ca="1" si="1">IF(B3&lt;60,0,IF(B3&lt;63,0.7,IF(B3&lt;67,1,IF(B3&lt;70,1.3,IF(B3&lt;73,1.7,IF(B3&lt;77,2,IF(B3&lt;80,2.3,IF(B3&lt;83,2.7,IF(B3&lt;87,3,IF(B3&lt;90,3.3,IF(B3&lt;93,3.7,4)))))))))))</f>
        <v>3.3</v>
      </c>
      <c r="D3">
        <v>6</v>
      </c>
      <c r="G3">
        <f t="shared" ref="G3:G11" ca="1" si="2">IF(H3&lt;60,0,IF(H3&lt;63,0.7,IF(H3&lt;67,1,IF(H3&lt;70,1.3,IF(H3&lt;73,1.7,IF(H3&lt;77,2,IF(H3&lt;80,2.3,IF(H3&lt;83,2.7,IF(H3&lt;87,3,IF(H3&lt;90,3.3,IF(H3&lt;93,3.7,4)))))))))))</f>
        <v>3.3</v>
      </c>
      <c r="H3">
        <f t="shared" ref="H3:H11" ca="1" si="3">B3</f>
        <v>88.760904282833479</v>
      </c>
      <c r="I3">
        <f t="shared" ref="I3:I11" ca="1" si="4">IF(H3&lt;60,60,IF(H3&lt;63,63,IF(H3&lt;67,67,IF(H3&lt;70,70,IF(H3&lt;73,73,IF(H3&lt;77,77,IF(H3&lt;80,80,IF(H3&lt;83,83,IF(H3&lt;87,87,IF(H3&lt;90,90,IF(H3&lt;93,93,100)))))))))))</f>
        <v>90</v>
      </c>
      <c r="J3">
        <f t="shared" ref="J3:J11" ca="1" si="5">IF(I3&lt;60,0,IF(I3&lt;63,0.7,IF(I3&lt;67,1,IF(I3&lt;70,1.3,IF(I3&lt;73,1.7,IF(I3&lt;77,2,IF(I3&lt;80,2.3,IF(I3&lt;83,2.7,IF(I3&lt;87,3,IF(I3&lt;90,3.3,IF(I3&lt;93,3.7,4)))))))))))</f>
        <v>3.7</v>
      </c>
      <c r="K3">
        <f t="shared" ref="K3:K11" ca="1" si="6">J3-G3</f>
        <v>0.40000000000000036</v>
      </c>
      <c r="L3">
        <f t="shared" ref="L3:L11" ca="1" si="7">I3-H3</f>
        <v>1.2390957171665207</v>
      </c>
      <c r="P3">
        <f ca="1">计算区!P3</f>
        <v>4413</v>
      </c>
      <c r="Q3">
        <f ca="1">计算区!L3</f>
        <v>3348.9945854239295</v>
      </c>
      <c r="R3">
        <f ca="1">计算区!S3</f>
        <v>4273.7618463484159</v>
      </c>
    </row>
    <row r="4" spans="1:68" x14ac:dyDescent="0.25">
      <c r="A4" t="s">
        <v>2</v>
      </c>
      <c r="B4">
        <f t="shared" ca="1" si="0"/>
        <v>76.310440031090337</v>
      </c>
      <c r="C4">
        <f t="shared" ca="1" si="1"/>
        <v>2</v>
      </c>
      <c r="D4">
        <v>2</v>
      </c>
      <c r="G4">
        <f t="shared" ca="1" si="2"/>
        <v>2</v>
      </c>
      <c r="H4">
        <f t="shared" ca="1" si="3"/>
        <v>76.310440031090337</v>
      </c>
      <c r="I4">
        <f t="shared" ca="1" si="4"/>
        <v>77</v>
      </c>
      <c r="J4">
        <f t="shared" ca="1" si="5"/>
        <v>2.2999999999999998</v>
      </c>
      <c r="K4">
        <f t="shared" ca="1" si="6"/>
        <v>0.29999999999999982</v>
      </c>
      <c r="L4">
        <f t="shared" ca="1" si="7"/>
        <v>0.68955996890966276</v>
      </c>
      <c r="P4">
        <f ca="1">计算区!P4</f>
        <v>4303</v>
      </c>
      <c r="Q4">
        <f ca="1">计算区!L4</f>
        <v>3018.2069825390631</v>
      </c>
      <c r="R4">
        <f ca="1">计算区!S4</f>
        <v>5616.1902874430762</v>
      </c>
      <c r="BP4" t="s">
        <v>17</v>
      </c>
    </row>
    <row r="5" spans="1:68" x14ac:dyDescent="0.25">
      <c r="A5" t="s">
        <v>3</v>
      </c>
      <c r="B5">
        <f t="shared" ca="1" si="0"/>
        <v>76.227840982532655</v>
      </c>
      <c r="C5">
        <f t="shared" ca="1" si="1"/>
        <v>2</v>
      </c>
      <c r="D5">
        <v>3</v>
      </c>
      <c r="G5">
        <f t="shared" ca="1" si="2"/>
        <v>2</v>
      </c>
      <c r="H5">
        <f t="shared" ca="1" si="3"/>
        <v>76.227840982532655</v>
      </c>
      <c r="I5">
        <f t="shared" ca="1" si="4"/>
        <v>77</v>
      </c>
      <c r="J5">
        <f t="shared" ca="1" si="5"/>
        <v>2.2999999999999998</v>
      </c>
      <c r="K5">
        <f t="shared" ca="1" si="6"/>
        <v>0.29999999999999982</v>
      </c>
      <c r="L5">
        <f t="shared" ca="1" si="7"/>
        <v>0.77215901746734517</v>
      </c>
      <c r="P5">
        <f ca="1">计算区!P5</f>
        <v>5800</v>
      </c>
      <c r="Q5">
        <f ca="1">计算区!L5</f>
        <v>4201.0046863713023</v>
      </c>
      <c r="R5">
        <f ca="1">计算区!S5</f>
        <v>6760.265543645939</v>
      </c>
    </row>
    <row r="6" spans="1:68" x14ac:dyDescent="0.25">
      <c r="A6" t="s">
        <v>4</v>
      </c>
      <c r="B6">
        <f t="shared" ca="1" si="0"/>
        <v>98.841441542278417</v>
      </c>
      <c r="C6">
        <f t="shared" ca="1" si="1"/>
        <v>4</v>
      </c>
      <c r="D6">
        <v>3</v>
      </c>
      <c r="G6">
        <f t="shared" ca="1" si="2"/>
        <v>4</v>
      </c>
      <c r="H6">
        <f t="shared" ca="1" si="3"/>
        <v>98.841441542278417</v>
      </c>
      <c r="I6">
        <f t="shared" ca="1" si="4"/>
        <v>100</v>
      </c>
      <c r="J6">
        <f t="shared" ca="1" si="5"/>
        <v>4</v>
      </c>
      <c r="K6">
        <f t="shared" ca="1" si="6"/>
        <v>0</v>
      </c>
      <c r="L6">
        <f t="shared" ca="1" si="7"/>
        <v>1.1585584577215826</v>
      </c>
      <c r="P6">
        <f ca="1">计算区!P6</f>
        <v>0</v>
      </c>
      <c r="Q6">
        <f ca="1">计算区!L6</f>
        <v>1211.4383078801191</v>
      </c>
      <c r="R6">
        <f ca="1">计算区!S6</f>
        <v>0</v>
      </c>
    </row>
    <row r="7" spans="1:68" x14ac:dyDescent="0.25">
      <c r="A7" t="s">
        <v>5</v>
      </c>
      <c r="B7">
        <f t="shared" ca="1" si="0"/>
        <v>93.390580168413891</v>
      </c>
      <c r="C7">
        <f t="shared" ca="1" si="1"/>
        <v>4</v>
      </c>
      <c r="D7">
        <v>3</v>
      </c>
      <c r="G7">
        <f t="shared" ca="1" si="2"/>
        <v>4</v>
      </c>
      <c r="H7">
        <f t="shared" ca="1" si="3"/>
        <v>93.390580168413891</v>
      </c>
      <c r="I7">
        <f t="shared" ca="1" si="4"/>
        <v>100</v>
      </c>
      <c r="J7">
        <f t="shared" ca="1" si="5"/>
        <v>4</v>
      </c>
      <c r="K7">
        <f t="shared" ca="1" si="6"/>
        <v>0</v>
      </c>
      <c r="L7">
        <f t="shared" ca="1" si="7"/>
        <v>6.6094198315861092</v>
      </c>
      <c r="P7">
        <f ca="1">计算区!P7</f>
        <v>0</v>
      </c>
      <c r="Q7">
        <f ca="1">计算区!L7</f>
        <v>1534.9256221433793</v>
      </c>
      <c r="R7">
        <f ca="1">计算区!S7</f>
        <v>0</v>
      </c>
    </row>
    <row r="8" spans="1:68" x14ac:dyDescent="0.25">
      <c r="A8" t="s">
        <v>6</v>
      </c>
      <c r="B8">
        <f t="shared" ca="1" si="0"/>
        <v>99.296162906296871</v>
      </c>
      <c r="C8">
        <f t="shared" ca="1" si="1"/>
        <v>4</v>
      </c>
      <c r="D8">
        <v>3</v>
      </c>
      <c r="G8">
        <f t="shared" ca="1" si="2"/>
        <v>4</v>
      </c>
      <c r="H8">
        <f t="shared" ca="1" si="3"/>
        <v>99.296162906296871</v>
      </c>
      <c r="I8">
        <f t="shared" ca="1" si="4"/>
        <v>100</v>
      </c>
      <c r="J8">
        <f t="shared" ca="1" si="5"/>
        <v>4</v>
      </c>
      <c r="K8">
        <f t="shared" ca="1" si="6"/>
        <v>0</v>
      </c>
      <c r="L8">
        <f t="shared" ca="1" si="7"/>
        <v>0.70383709370312886</v>
      </c>
      <c r="P8">
        <f ca="1">计算区!P8</f>
        <v>0</v>
      </c>
      <c r="Q8">
        <f ca="1">计算区!L8</f>
        <v>1189.1921055934708</v>
      </c>
      <c r="R8">
        <f ca="1">计算区!S8</f>
        <v>0</v>
      </c>
    </row>
    <row r="9" spans="1:68" x14ac:dyDescent="0.25">
      <c r="A9" t="s">
        <v>7</v>
      </c>
      <c r="B9">
        <f t="shared" ca="1" si="0"/>
        <v>87.272652398825187</v>
      </c>
      <c r="C9">
        <f t="shared" ca="1" si="1"/>
        <v>3.3</v>
      </c>
      <c r="D9">
        <v>3</v>
      </c>
      <c r="G9">
        <f t="shared" ca="1" si="2"/>
        <v>3.3</v>
      </c>
      <c r="H9">
        <f t="shared" ca="1" si="3"/>
        <v>87.272652398825187</v>
      </c>
      <c r="I9">
        <f t="shared" ca="1" si="4"/>
        <v>90</v>
      </c>
      <c r="J9">
        <f t="shared" ca="1" si="5"/>
        <v>3.7</v>
      </c>
      <c r="K9">
        <f t="shared" ca="1" si="6"/>
        <v>0.40000000000000036</v>
      </c>
      <c r="L9">
        <f t="shared" ca="1" si="7"/>
        <v>2.727347601174813</v>
      </c>
      <c r="P9">
        <f ca="1">计算区!P9</f>
        <v>1084</v>
      </c>
      <c r="Q9">
        <f ca="1">计算区!L9</f>
        <v>2080.1643614904847</v>
      </c>
      <c r="R9">
        <f ca="1">计算区!S9</f>
        <v>476.94690601215541</v>
      </c>
    </row>
    <row r="10" spans="1:68" x14ac:dyDescent="0.25">
      <c r="A10" t="s">
        <v>8</v>
      </c>
      <c r="B10">
        <f t="shared" ca="1" si="0"/>
        <v>88.791609698896693</v>
      </c>
      <c r="C10">
        <f t="shared" ca="1" si="1"/>
        <v>3.3</v>
      </c>
      <c r="D10">
        <v>2</v>
      </c>
      <c r="G10">
        <f t="shared" ca="1" si="2"/>
        <v>3.3</v>
      </c>
      <c r="H10">
        <f t="shared" ca="1" si="3"/>
        <v>88.791609698896693</v>
      </c>
      <c r="I10">
        <f t="shared" ca="1" si="4"/>
        <v>90</v>
      </c>
      <c r="J10">
        <f t="shared" ca="1" si="5"/>
        <v>3.7</v>
      </c>
      <c r="K10">
        <f t="shared" ca="1" si="6"/>
        <v>0.40000000000000036</v>
      </c>
      <c r="L10">
        <f t="shared" ca="1" si="7"/>
        <v>1.2083903011033073</v>
      </c>
      <c r="P10">
        <f ca="1">计算区!P10</f>
        <v>1506</v>
      </c>
      <c r="Q10">
        <f ca="1">计算区!L10</f>
        <v>1388.4480651244317</v>
      </c>
      <c r="R10">
        <f ca="1">计算区!S10</f>
        <v>1495.5432846075955</v>
      </c>
    </row>
    <row r="11" spans="1:68" x14ac:dyDescent="0.25">
      <c r="A11" t="s">
        <v>9</v>
      </c>
      <c r="B11">
        <f t="shared" ca="1" si="0"/>
        <v>81.414821326459318</v>
      </c>
      <c r="C11">
        <f t="shared" ca="1" si="1"/>
        <v>2.7</v>
      </c>
      <c r="D11">
        <v>2</v>
      </c>
      <c r="G11">
        <f t="shared" ca="1" si="2"/>
        <v>2.7</v>
      </c>
      <c r="H11">
        <f t="shared" ca="1" si="3"/>
        <v>81.414821326459318</v>
      </c>
      <c r="I11">
        <f t="shared" ca="1" si="4"/>
        <v>83</v>
      </c>
      <c r="J11">
        <f t="shared" ca="1" si="5"/>
        <v>3</v>
      </c>
      <c r="K11">
        <f t="shared" ca="1" si="6"/>
        <v>0.29999999999999982</v>
      </c>
      <c r="L11">
        <f t="shared" ca="1" si="7"/>
        <v>1.5851786735406819</v>
      </c>
      <c r="P11">
        <f ca="1">计算区!P11</f>
        <v>1313</v>
      </c>
      <c r="Q11">
        <f ca="1">计算区!L11</f>
        <v>2117.0740781749596</v>
      </c>
      <c r="R11">
        <f ca="1">计算区!S11</f>
        <v>745.46801551432327</v>
      </c>
    </row>
    <row r="13" spans="1:68" x14ac:dyDescent="0.25">
      <c r="A13" t="s">
        <v>12</v>
      </c>
      <c r="B13">
        <f ca="1">AVERAGE(B2:B11)</f>
        <v>87.312733858041582</v>
      </c>
      <c r="C13">
        <f t="shared" ref="C13" ca="1" si="8">AVERAGE(C2:C11)</f>
        <v>3.13</v>
      </c>
    </row>
    <row r="14" spans="1:68" x14ac:dyDescent="0.25">
      <c r="A14" t="s">
        <v>14</v>
      </c>
      <c r="B14">
        <f ca="1">计算区!B14</f>
        <v>87.649675875589992</v>
      </c>
      <c r="C14">
        <f ca="1">计算区!C14</f>
        <v>3.1624999999999996</v>
      </c>
    </row>
    <row r="16" spans="1:68" x14ac:dyDescent="0.25">
      <c r="P16" s="1">
        <v>2</v>
      </c>
    </row>
    <row r="18" spans="4:33" x14ac:dyDescent="0.25">
      <c r="AE18">
        <f t="shared" ref="AE18:AE27" ca="1" si="9">POWER(P2,1/$P$16)</f>
        <v>163.13491349187029</v>
      </c>
      <c r="AF18">
        <f t="shared" ref="AF18:AF27" ca="1" si="10">POWER(Q2,1/$P$16)</f>
        <v>63.537238328897871</v>
      </c>
      <c r="AG18">
        <f t="shared" ref="AG18:AG27" ca="1" si="11">POWER(R2,1/$P$16)</f>
        <v>365.68107698502439</v>
      </c>
    </row>
    <row r="19" spans="4:33" x14ac:dyDescent="0.25">
      <c r="AE19">
        <f t="shared" ca="1" si="9"/>
        <v>66.430414720969495</v>
      </c>
      <c r="AF19">
        <f t="shared" ca="1" si="10"/>
        <v>57.870498403106303</v>
      </c>
      <c r="AG19">
        <f t="shared" ca="1" si="11"/>
        <v>65.37401506981513</v>
      </c>
    </row>
    <row r="20" spans="4:33" ht="60" x14ac:dyDescent="1">
      <c r="D20" s="4" t="str">
        <f ca="1">IF(IFERROR(P11,"你没有设置难度！！！")="你没有设置难度！！！","你没有设置难度！！！","")</f>
        <v/>
      </c>
      <c r="AE20">
        <f t="shared" ca="1" si="9"/>
        <v>65.597256040172894</v>
      </c>
      <c r="AF20">
        <f t="shared" ca="1" si="10"/>
        <v>54.938210587341331</v>
      </c>
      <c r="AG20">
        <f t="shared" ca="1" si="11"/>
        <v>74.94124556906614</v>
      </c>
    </row>
    <row r="21" spans="4:33" x14ac:dyDescent="0.25">
      <c r="AE21">
        <f t="shared" ca="1" si="9"/>
        <v>76.157731058639087</v>
      </c>
      <c r="AF21">
        <f t="shared" ca="1" si="10"/>
        <v>64.815157844221147</v>
      </c>
      <c r="AG21">
        <f t="shared" ca="1" si="11"/>
        <v>82.220833999941519</v>
      </c>
    </row>
    <row r="22" spans="4:33" x14ac:dyDescent="0.25">
      <c r="AE22">
        <f t="shared" ca="1" si="9"/>
        <v>0</v>
      </c>
      <c r="AF22">
        <f t="shared" ca="1" si="10"/>
        <v>34.805722343892235</v>
      </c>
      <c r="AG22">
        <f t="shared" ca="1" si="11"/>
        <v>0</v>
      </c>
    </row>
    <row r="23" spans="4:33" x14ac:dyDescent="0.25">
      <c r="AE23">
        <f t="shared" ca="1" si="9"/>
        <v>0</v>
      </c>
      <c r="AF23">
        <f t="shared" ca="1" si="10"/>
        <v>39.178126833009507</v>
      </c>
      <c r="AG23">
        <f t="shared" ca="1" si="11"/>
        <v>0</v>
      </c>
    </row>
    <row r="24" spans="4:33" x14ac:dyDescent="0.25">
      <c r="AE24">
        <f t="shared" ca="1" si="9"/>
        <v>0</v>
      </c>
      <c r="AF24">
        <f t="shared" ca="1" si="10"/>
        <v>34.484664788764739</v>
      </c>
      <c r="AG24">
        <f t="shared" ca="1" si="11"/>
        <v>0</v>
      </c>
    </row>
    <row r="25" spans="4:33" x14ac:dyDescent="0.25">
      <c r="AE25">
        <f t="shared" ca="1" si="9"/>
        <v>32.924155266308659</v>
      </c>
      <c r="AF25">
        <f t="shared" ca="1" si="10"/>
        <v>45.608818900410967</v>
      </c>
      <c r="AG25">
        <f t="shared" ca="1" si="11"/>
        <v>21.839114130663713</v>
      </c>
    </row>
    <row r="26" spans="4:33" x14ac:dyDescent="0.25">
      <c r="AE26">
        <f t="shared" ca="1" si="9"/>
        <v>38.80721582386451</v>
      </c>
      <c r="AF26">
        <f t="shared" ca="1" si="10"/>
        <v>37.261884884214211</v>
      </c>
      <c r="AG26">
        <f t="shared" ca="1" si="11"/>
        <v>38.672254713264337</v>
      </c>
    </row>
    <row r="27" spans="4:33" x14ac:dyDescent="0.25">
      <c r="AE27">
        <f t="shared" ca="1" si="9"/>
        <v>36.235341863986875</v>
      </c>
      <c r="AF27">
        <f t="shared" ca="1" si="10"/>
        <v>46.011673281624518</v>
      </c>
      <c r="AG27">
        <f t="shared" ca="1" si="11"/>
        <v>27.303260162741065</v>
      </c>
    </row>
  </sheetData>
  <phoneticPr fontId="1" type="noConversion"/>
  <conditionalFormatting sqref="L2:L11">
    <cfRule type="cellIs" dxfId="30" priority="13" operator="equal">
      <formula>3</formula>
    </cfRule>
    <cfRule type="cellIs" dxfId="29" priority="14" operator="equal">
      <formula>2</formula>
    </cfRule>
    <cfRule type="top10" dxfId="28" priority="15" bottom="1" rank="1"/>
  </conditionalFormatting>
  <conditionalFormatting sqref="A2:L6 A8:L11 A7:E7 G7:L7">
    <cfRule type="expression" dxfId="27" priority="11">
      <formula>IF($L2=1,$A2)</formula>
    </cfRule>
  </conditionalFormatting>
  <conditionalFormatting sqref="AE18:AG27">
    <cfRule type="top10" dxfId="26" priority="8" rank="3"/>
  </conditionalFormatting>
  <conditionalFormatting sqref="O12">
    <cfRule type="top10" dxfId="25" priority="5" rank="3"/>
  </conditionalFormatting>
  <conditionalFormatting sqref="B2:B11">
    <cfRule type="cellIs" dxfId="24" priority="4" operator="between">
      <formula>60</formula>
      <formula>70</formula>
    </cfRule>
  </conditionalFormatting>
  <conditionalFormatting sqref="P2:P11">
    <cfRule type="top10" dxfId="23" priority="3" rank="3"/>
  </conditionalFormatting>
  <conditionalFormatting sqref="Q2:Q11">
    <cfRule type="top10" dxfId="22" priority="2" rank="3"/>
  </conditionalFormatting>
  <conditionalFormatting sqref="R2:R11">
    <cfRule type="top10" dxfId="21" priority="1" rank="3"/>
  </conditionalFormatting>
  <conditionalFormatting sqref="D20">
    <cfRule type="expression" dxfId="2" priority="32">
      <formula>IF($L7=1,$A7)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24149-A74D-4B7B-A7B7-87DAACD45FA3}">
  <dimension ref="A1:B11"/>
  <sheetViews>
    <sheetView workbookViewId="0">
      <selection activeCell="B19" sqref="B19"/>
    </sheetView>
  </sheetViews>
  <sheetFormatPr defaultRowHeight="13.8" x14ac:dyDescent="0.25"/>
  <cols>
    <col min="2" max="2" width="72.6640625" customWidth="1"/>
  </cols>
  <sheetData>
    <row r="1" spans="1:2" ht="41.4" x14ac:dyDescent="0.25">
      <c r="B1" s="2" t="s">
        <v>30</v>
      </c>
    </row>
    <row r="2" spans="1:2" x14ac:dyDescent="0.25">
      <c r="A2" t="s">
        <v>0</v>
      </c>
      <c r="B2" s="3">
        <v>10</v>
      </c>
    </row>
    <row r="3" spans="1:2" x14ac:dyDescent="0.25">
      <c r="A3" t="s">
        <v>1</v>
      </c>
      <c r="B3">
        <v>10</v>
      </c>
    </row>
    <row r="4" spans="1:2" x14ac:dyDescent="0.25">
      <c r="A4" t="s">
        <v>2</v>
      </c>
      <c r="B4" s="3">
        <v>10</v>
      </c>
    </row>
    <row r="5" spans="1:2" x14ac:dyDescent="0.25">
      <c r="A5" t="s">
        <v>3</v>
      </c>
      <c r="B5">
        <v>10</v>
      </c>
    </row>
    <row r="6" spans="1:2" x14ac:dyDescent="0.25">
      <c r="A6" t="s">
        <v>4</v>
      </c>
      <c r="B6" s="3">
        <v>10</v>
      </c>
    </row>
    <row r="7" spans="1:2" x14ac:dyDescent="0.25">
      <c r="A7" t="s">
        <v>5</v>
      </c>
      <c r="B7">
        <v>10</v>
      </c>
    </row>
    <row r="8" spans="1:2" x14ac:dyDescent="0.25">
      <c r="A8" t="s">
        <v>6</v>
      </c>
      <c r="B8" s="3">
        <v>10</v>
      </c>
    </row>
    <row r="9" spans="1:2" x14ac:dyDescent="0.25">
      <c r="A9" t="s">
        <v>7</v>
      </c>
      <c r="B9">
        <v>10</v>
      </c>
    </row>
    <row r="10" spans="1:2" x14ac:dyDescent="0.25">
      <c r="A10" t="s">
        <v>8</v>
      </c>
      <c r="B10" s="3">
        <v>10</v>
      </c>
    </row>
    <row r="11" spans="1:2" x14ac:dyDescent="0.25">
      <c r="A11" t="s">
        <v>9</v>
      </c>
      <c r="B11">
        <v>10</v>
      </c>
    </row>
  </sheetData>
  <phoneticPr fontId="1" type="noConversion"/>
  <conditionalFormatting sqref="A2:A11">
    <cfRule type="expression" dxfId="20" priority="1">
      <formula>IF($L2=1,$A2)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1C72A-8E36-4E34-8095-D4033605BB30}">
  <sheetPr codeName="Sheet2"/>
  <dimension ref="A1:S14"/>
  <sheetViews>
    <sheetView workbookViewId="0">
      <pane xSplit="1" topLeftCell="B1" activePane="topRight" state="frozen"/>
      <selection pane="topRight" activeCell="F16" sqref="F16"/>
    </sheetView>
  </sheetViews>
  <sheetFormatPr defaultRowHeight="13.8" x14ac:dyDescent="0.25"/>
  <cols>
    <col min="7" max="7" width="13.109375" bestFit="1" customWidth="1"/>
    <col min="10" max="12" width="15.5546875" customWidth="1"/>
    <col min="13" max="13" width="13.109375" bestFit="1" customWidth="1"/>
  </cols>
  <sheetData>
    <row r="1" spans="1:19" x14ac:dyDescent="0.25">
      <c r="F1" t="s">
        <v>29</v>
      </c>
      <c r="G1" t="s">
        <v>15</v>
      </c>
      <c r="H1" t="s">
        <v>28</v>
      </c>
      <c r="I1" t="s">
        <v>13</v>
      </c>
      <c r="J1" t="s">
        <v>23</v>
      </c>
      <c r="K1" t="s">
        <v>24</v>
      </c>
      <c r="M1" t="s">
        <v>16</v>
      </c>
      <c r="N1">
        <v>1</v>
      </c>
      <c r="O1">
        <v>2</v>
      </c>
      <c r="P1">
        <v>3</v>
      </c>
    </row>
    <row r="2" spans="1:19" x14ac:dyDescent="0.25">
      <c r="A2" t="s">
        <v>0</v>
      </c>
      <c r="B2">
        <f ca="1">Sheet1!B2*Sheet1!$D2</f>
        <v>414.10442621394463</v>
      </c>
      <c r="C2">
        <f ca="1">Sheet1!C2*Sheet1!$D2</f>
        <v>13.5</v>
      </c>
      <c r="F2">
        <f>设置!B2</f>
        <v>10</v>
      </c>
      <c r="G2">
        <f ca="1">1/(Sheet1!B2-50)^2</f>
        <v>9.2832365861799022E-4</v>
      </c>
      <c r="H2">
        <f ca="1">Sheet1!L2</f>
        <v>0.1791147572110674</v>
      </c>
      <c r="I2">
        <f>Sheet1!D2^0.8</f>
        <v>3.6238983183884779</v>
      </c>
      <c r="J2">
        <f ca="1">('预测 (2)'!C2*'预测 (2)'!D2+SUM($C$2:$C$11)-C2)/SUM(Sheet1!$D$2:$D$11)-计算区!$C$14</f>
        <v>4.6875E-2</v>
      </c>
      <c r="K2">
        <f ca="1">G2*I2*1000*12/F2</f>
        <v>4.0369806544631688</v>
      </c>
      <c r="L2">
        <f ca="1">K2*1000</f>
        <v>4036.9806544631688</v>
      </c>
      <c r="M2">
        <f ca="1">G2*J2*100000/H2*(SQRT(12/F2))</f>
        <v>26.61337501624179</v>
      </c>
      <c r="N2">
        <f t="shared" ref="N2:P11" ca="1" si="0">ROUND($M2,N$1)*10^N$1</f>
        <v>266</v>
      </c>
      <c r="O2">
        <f t="shared" ca="1" si="0"/>
        <v>2661</v>
      </c>
      <c r="P2">
        <f t="shared" ca="1" si="0"/>
        <v>26613</v>
      </c>
      <c r="Q2">
        <f ca="1">ROUND(N2/10,0)</f>
        <v>27</v>
      </c>
      <c r="S2">
        <f ca="1">P2/Sheet1!L2*(Sheet1!J2-Sheet1!G2)*3</f>
        <v>133722.65006492735</v>
      </c>
    </row>
    <row r="3" spans="1:19" x14ac:dyDescent="0.25">
      <c r="A3" t="s">
        <v>1</v>
      </c>
      <c r="B3">
        <f ca="1">Sheet1!B3*Sheet1!$D3</f>
        <v>532.56542569700082</v>
      </c>
      <c r="C3">
        <f ca="1">Sheet1!C3*Sheet1!$D3</f>
        <v>19.799999999999997</v>
      </c>
      <c r="F3">
        <f>设置!B3</f>
        <v>10</v>
      </c>
      <c r="G3">
        <f ca="1">1/(Sheet1!B3-50)^2</f>
        <v>6.6559829229591056E-4</v>
      </c>
      <c r="H3">
        <f ca="1">Sheet1!L3</f>
        <v>1.2390957171665207</v>
      </c>
      <c r="I3">
        <f>Sheet1!D3^0.8</f>
        <v>4.192962712629476</v>
      </c>
      <c r="J3">
        <f ca="1">('预测 (2)'!C3*'预测 (2)'!D3+SUM($C$2:$C$11)-C3)/SUM(Sheet1!$D$2:$D$11)-计算区!$C$14</f>
        <v>7.5000000000000178E-2</v>
      </c>
      <c r="K3">
        <f t="shared" ref="K3:K11" ca="1" si="1">G3*I3*1000*12/F3</f>
        <v>3.3489945854239296</v>
      </c>
      <c r="L3">
        <f t="shared" ref="L3:L11" ca="1" si="2">K3*1000</f>
        <v>3348.9945854239295</v>
      </c>
      <c r="M3">
        <f t="shared" ref="M3:M11" ca="1" si="3">G3*J3*100000/H3*(SQRT(12/F3))</f>
        <v>4.4132571101251914</v>
      </c>
      <c r="N3">
        <f t="shared" ca="1" si="0"/>
        <v>44</v>
      </c>
      <c r="O3">
        <f t="shared" ca="1" si="0"/>
        <v>441</v>
      </c>
      <c r="P3">
        <f t="shared" ca="1" si="0"/>
        <v>4413</v>
      </c>
      <c r="Q3">
        <f t="shared" ref="Q3:Q11" ca="1" si="4">ROUND(N3/10,0)</f>
        <v>4</v>
      </c>
      <c r="S3">
        <f ca="1">P3/Sheet1!L3*(Sheet1!J3-Sheet1!G3)*3</f>
        <v>4273.7618463484159</v>
      </c>
    </row>
    <row r="4" spans="1:19" x14ac:dyDescent="0.25">
      <c r="A4" t="s">
        <v>2</v>
      </c>
      <c r="B4">
        <f ca="1">Sheet1!B4*Sheet1!$D4</f>
        <v>152.62088006218067</v>
      </c>
      <c r="C4">
        <f ca="1">Sheet1!C4*Sheet1!$D4</f>
        <v>4</v>
      </c>
      <c r="F4">
        <f>设置!B4</f>
        <v>10</v>
      </c>
      <c r="G4">
        <f ca="1">1/(Sheet1!B4-50)^2</f>
        <v>1.4445872482846613E-3</v>
      </c>
      <c r="H4">
        <f ca="1">Sheet1!L4</f>
        <v>0.68955996890966276</v>
      </c>
      <c r="I4">
        <f>Sheet1!D4^0.8</f>
        <v>1.7411011265922482</v>
      </c>
      <c r="J4">
        <f ca="1">('预测 (2)'!C4*'预测 (2)'!D4+SUM($C$2:$C$11)-C4)/SUM(Sheet1!$D$2:$D$11)-计算区!$C$14</f>
        <v>1.8749999999999822E-2</v>
      </c>
      <c r="K4">
        <f t="shared" ca="1" si="1"/>
        <v>3.0182069825390632</v>
      </c>
      <c r="L4">
        <f t="shared" ca="1" si="2"/>
        <v>3018.2069825390631</v>
      </c>
      <c r="M4">
        <f t="shared" ca="1" si="3"/>
        <v>4.3029235554790883</v>
      </c>
      <c r="N4">
        <f t="shared" ca="1" si="0"/>
        <v>43</v>
      </c>
      <c r="O4">
        <f t="shared" ca="1" si="0"/>
        <v>430</v>
      </c>
      <c r="P4">
        <f ca="1">ROUND($M4,P$1)*10^P$1</f>
        <v>4303</v>
      </c>
      <c r="Q4">
        <f t="shared" ca="1" si="4"/>
        <v>4</v>
      </c>
      <c r="S4">
        <f ca="1">P4/Sheet1!L4*(Sheet1!J4-Sheet1!G4)*3</f>
        <v>5616.1902874430762</v>
      </c>
    </row>
    <row r="5" spans="1:19" x14ac:dyDescent="0.25">
      <c r="A5" t="s">
        <v>3</v>
      </c>
      <c r="B5">
        <f ca="1">Sheet1!B5*Sheet1!$D5</f>
        <v>228.68352294759796</v>
      </c>
      <c r="C5">
        <f ca="1">Sheet1!C5*Sheet1!$D5</f>
        <v>6</v>
      </c>
      <c r="F5">
        <f>设置!B5</f>
        <v>10</v>
      </c>
      <c r="G5">
        <f ca="1">1/(Sheet1!B5-50)^2</f>
        <v>1.4537004209118094E-3</v>
      </c>
      <c r="H5">
        <f ca="1">Sheet1!L5</f>
        <v>0.77215901746734517</v>
      </c>
      <c r="I5">
        <f>Sheet1!D5^0.8</f>
        <v>2.4082246852806923</v>
      </c>
      <c r="J5">
        <f ca="1">('预测 (2)'!C5*'预测 (2)'!D5+SUM($C$2:$C$11)-C5)/SUM(Sheet1!$D$2:$D$11)-计算区!$C$14</f>
        <v>2.8125000000000178E-2</v>
      </c>
      <c r="K5">
        <f t="shared" ca="1" si="1"/>
        <v>4.2010046863713022</v>
      </c>
      <c r="L5">
        <f t="shared" ca="1" si="2"/>
        <v>4201.0046863713023</v>
      </c>
      <c r="M5">
        <f ca="1">G5*J5*100000/H5*(SQRT(12/F5))</f>
        <v>5.8003115690775386</v>
      </c>
      <c r="N5">
        <f t="shared" ca="1" si="0"/>
        <v>58</v>
      </c>
      <c r="O5">
        <f t="shared" ca="1" si="0"/>
        <v>580</v>
      </c>
      <c r="P5">
        <f t="shared" ca="1" si="0"/>
        <v>5800</v>
      </c>
      <c r="Q5">
        <f t="shared" ca="1" si="4"/>
        <v>6</v>
      </c>
      <c r="S5">
        <f ca="1">P5/Sheet1!L5*(Sheet1!J5-Sheet1!G5)*3</f>
        <v>6760.265543645939</v>
      </c>
    </row>
    <row r="6" spans="1:19" x14ac:dyDescent="0.25">
      <c r="A6" t="s">
        <v>4</v>
      </c>
      <c r="B6">
        <f ca="1">Sheet1!B6*Sheet1!$D6</f>
        <v>296.52432462683527</v>
      </c>
      <c r="C6">
        <f ca="1">Sheet1!C6*Sheet1!$D6</f>
        <v>12</v>
      </c>
      <c r="F6">
        <f>设置!B6</f>
        <v>10</v>
      </c>
      <c r="G6">
        <f ca="1">1/(Sheet1!B6-50)^2</f>
        <v>4.1920171710048139E-4</v>
      </c>
      <c r="H6">
        <f ca="1">Sheet1!L6</f>
        <v>1.1585584577215826</v>
      </c>
      <c r="I6">
        <f>Sheet1!D6^0.8</f>
        <v>2.4082246852806923</v>
      </c>
      <c r="J6">
        <f ca="1">('预测 (2)'!C6*'预测 (2)'!D6+SUM($C$2:$C$11)-C6)/SUM(Sheet1!$D$2:$D$11)-计算区!$C$14</f>
        <v>0</v>
      </c>
      <c r="K6">
        <f t="shared" ca="1" si="1"/>
        <v>1.211438307880119</v>
      </c>
      <c r="L6">
        <f t="shared" ca="1" si="2"/>
        <v>1211.4383078801191</v>
      </c>
      <c r="M6">
        <f t="shared" ca="1" si="3"/>
        <v>0</v>
      </c>
      <c r="N6">
        <f t="shared" ca="1" si="0"/>
        <v>0</v>
      </c>
      <c r="O6">
        <f t="shared" ca="1" si="0"/>
        <v>0</v>
      </c>
      <c r="P6">
        <f t="shared" ca="1" si="0"/>
        <v>0</v>
      </c>
      <c r="Q6">
        <f t="shared" ca="1" si="4"/>
        <v>0</v>
      </c>
      <c r="S6">
        <f ca="1">P6/Sheet1!L6*(Sheet1!J6-Sheet1!G6)*3</f>
        <v>0</v>
      </c>
    </row>
    <row r="7" spans="1:19" x14ac:dyDescent="0.25">
      <c r="A7" t="s">
        <v>5</v>
      </c>
      <c r="B7">
        <f ca="1">Sheet1!B7*Sheet1!$D7</f>
        <v>280.1717405052417</v>
      </c>
      <c r="C7">
        <f ca="1">Sheet1!C7*Sheet1!$D7</f>
        <v>12</v>
      </c>
      <c r="F7">
        <f>设置!B7</f>
        <v>10</v>
      </c>
      <c r="G7">
        <f ca="1">1/(Sheet1!B7-50)^2</f>
        <v>5.3114009375350121E-4</v>
      </c>
      <c r="H7">
        <f ca="1">Sheet1!L7</f>
        <v>6.6094198315861092</v>
      </c>
      <c r="I7">
        <f>Sheet1!D7^0.8</f>
        <v>2.4082246852806923</v>
      </c>
      <c r="J7">
        <f ca="1">('预测 (2)'!C7*'预测 (2)'!D7+SUM($C$2:$C$11)-C7)/SUM(Sheet1!$D$2:$D$11)-计算区!$C$14</f>
        <v>0</v>
      </c>
      <c r="K7">
        <f t="shared" ca="1" si="1"/>
        <v>1.5349256221433794</v>
      </c>
      <c r="L7">
        <f t="shared" ca="1" si="2"/>
        <v>1534.9256221433793</v>
      </c>
      <c r="M7">
        <f t="shared" ca="1" si="3"/>
        <v>0</v>
      </c>
      <c r="N7">
        <f t="shared" ca="1" si="0"/>
        <v>0</v>
      </c>
      <c r="O7">
        <f t="shared" ca="1" si="0"/>
        <v>0</v>
      </c>
      <c r="P7">
        <f t="shared" ca="1" si="0"/>
        <v>0</v>
      </c>
      <c r="Q7">
        <f t="shared" ca="1" si="4"/>
        <v>0</v>
      </c>
      <c r="S7">
        <f ca="1">P7/Sheet1!L7*(Sheet1!J7-Sheet1!G7)*3</f>
        <v>0</v>
      </c>
    </row>
    <row r="8" spans="1:19" x14ac:dyDescent="0.25">
      <c r="A8" t="s">
        <v>6</v>
      </c>
      <c r="B8">
        <f ca="1">Sheet1!B8*Sheet1!$D8</f>
        <v>297.88848871889059</v>
      </c>
      <c r="C8">
        <f ca="1">Sheet1!C8*Sheet1!$D8</f>
        <v>12</v>
      </c>
      <c r="F8">
        <f>设置!B8</f>
        <v>10</v>
      </c>
      <c r="G8">
        <f ca="1">1/(Sheet1!B8-50)^2</f>
        <v>4.1150372196786382E-4</v>
      </c>
      <c r="H8">
        <f ca="1">Sheet1!L8</f>
        <v>0.70383709370312886</v>
      </c>
      <c r="I8">
        <f>Sheet1!D8^0.8</f>
        <v>2.4082246852806923</v>
      </c>
      <c r="J8">
        <f ca="1">('预测 (2)'!C8*'预测 (2)'!D8+SUM($C$2:$C$11)-C8)/SUM(Sheet1!$D$2:$D$11)-计算区!$C$14</f>
        <v>0</v>
      </c>
      <c r="K8">
        <f t="shared" ca="1" si="1"/>
        <v>1.1891921055934709</v>
      </c>
      <c r="L8">
        <f t="shared" ca="1" si="2"/>
        <v>1189.1921055934708</v>
      </c>
      <c r="M8">
        <f t="shared" ca="1" si="3"/>
        <v>0</v>
      </c>
      <c r="N8">
        <f t="shared" ca="1" si="0"/>
        <v>0</v>
      </c>
      <c r="O8">
        <f t="shared" ca="1" si="0"/>
        <v>0</v>
      </c>
      <c r="P8">
        <f t="shared" ca="1" si="0"/>
        <v>0</v>
      </c>
      <c r="Q8">
        <f t="shared" ca="1" si="4"/>
        <v>0</v>
      </c>
      <c r="S8">
        <f ca="1">P8/Sheet1!L8*(Sheet1!J8-Sheet1!G8)*3</f>
        <v>0</v>
      </c>
    </row>
    <row r="9" spans="1:19" x14ac:dyDescent="0.25">
      <c r="A9" t="s">
        <v>7</v>
      </c>
      <c r="B9">
        <f ca="1">Sheet1!B9*Sheet1!$D9</f>
        <v>261.81795719647556</v>
      </c>
      <c r="C9">
        <f ca="1">Sheet1!C9*Sheet1!$D9</f>
        <v>9.8999999999999986</v>
      </c>
      <c r="F9">
        <f>设置!B9</f>
        <v>10</v>
      </c>
      <c r="G9">
        <f ca="1">1/(Sheet1!B9-50)^2</f>
        <v>7.198125290539594E-4</v>
      </c>
      <c r="H9">
        <f ca="1">Sheet1!L9</f>
        <v>2.727347601174813</v>
      </c>
      <c r="I9">
        <f>Sheet1!D9^0.8</f>
        <v>2.4082246852806923</v>
      </c>
      <c r="J9">
        <f ca="1">('预测 (2)'!C9*'预测 (2)'!D9+SUM($C$2:$C$11)-C9)/SUM(Sheet1!$D$2:$D$11)-计算区!$C$14</f>
        <v>3.7499999999999645E-2</v>
      </c>
      <c r="K9">
        <f t="shared" ca="1" si="1"/>
        <v>2.0801643614904846</v>
      </c>
      <c r="L9">
        <f t="shared" ca="1" si="2"/>
        <v>2080.1643614904847</v>
      </c>
      <c r="M9">
        <f t="shared" ca="1" si="3"/>
        <v>1.084178523397233</v>
      </c>
      <c r="N9">
        <f t="shared" ca="1" si="0"/>
        <v>11</v>
      </c>
      <c r="O9">
        <f t="shared" ca="1" si="0"/>
        <v>108</v>
      </c>
      <c r="P9">
        <f t="shared" ca="1" si="0"/>
        <v>1084</v>
      </c>
      <c r="Q9">
        <f t="shared" ca="1" si="4"/>
        <v>1</v>
      </c>
      <c r="S9">
        <f ca="1">P9/Sheet1!L9*(Sheet1!J9-Sheet1!G9)*3</f>
        <v>476.94690601215541</v>
      </c>
    </row>
    <row r="10" spans="1:19" x14ac:dyDescent="0.25">
      <c r="A10" t="s">
        <v>8</v>
      </c>
      <c r="B10">
        <f ca="1">Sheet1!B10*Sheet1!$D10</f>
        <v>177.58321939779339</v>
      </c>
      <c r="C10">
        <f ca="1">Sheet1!C10*Sheet1!$D10</f>
        <v>6.6</v>
      </c>
      <c r="F10">
        <f>设置!B10</f>
        <v>10</v>
      </c>
      <c r="G10">
        <f ca="1">1/(Sheet1!B10-50)^2</f>
        <v>6.6454500350302133E-4</v>
      </c>
      <c r="H10">
        <f ca="1">Sheet1!L10</f>
        <v>1.2083903011033073</v>
      </c>
      <c r="I10">
        <f>Sheet1!D10^0.8</f>
        <v>1.7411011265922482</v>
      </c>
      <c r="J10">
        <f ca="1">('预测 (2)'!C10*'预测 (2)'!D10+SUM($C$2:$C$11)-C10)/SUM(Sheet1!$D$2:$D$11)-计算区!$C$14</f>
        <v>2.5000000000000355E-2</v>
      </c>
      <c r="K10">
        <f t="shared" ca="1" si="1"/>
        <v>1.3884480651244318</v>
      </c>
      <c r="L10">
        <f t="shared" ca="1" si="2"/>
        <v>1388.4480651244317</v>
      </c>
      <c r="M10">
        <f t="shared" ca="1" si="3"/>
        <v>1.5060791557314963</v>
      </c>
      <c r="N10">
        <f t="shared" ca="1" si="0"/>
        <v>15</v>
      </c>
      <c r="O10">
        <f t="shared" ca="1" si="0"/>
        <v>151</v>
      </c>
      <c r="P10">
        <f t="shared" ca="1" si="0"/>
        <v>1506</v>
      </c>
      <c r="Q10">
        <f t="shared" ca="1" si="4"/>
        <v>2</v>
      </c>
      <c r="S10">
        <f ca="1">P10/Sheet1!L10*(Sheet1!J10-Sheet1!G10)*3</f>
        <v>1495.5432846075955</v>
      </c>
    </row>
    <row r="11" spans="1:19" x14ac:dyDescent="0.25">
      <c r="A11" t="s">
        <v>9</v>
      </c>
      <c r="B11">
        <f ca="1">Sheet1!B11*Sheet1!$D11</f>
        <v>162.82964265291864</v>
      </c>
      <c r="C11">
        <f ca="1">Sheet1!C11*Sheet1!$D11</f>
        <v>5.4</v>
      </c>
      <c r="F11">
        <f>设置!B11</f>
        <v>10</v>
      </c>
      <c r="G11">
        <f ca="1">1/(Sheet1!B11-50)^2</f>
        <v>1.0132831295860169E-3</v>
      </c>
      <c r="H11">
        <f ca="1">Sheet1!L11</f>
        <v>1.5851786735406819</v>
      </c>
      <c r="I11">
        <f>Sheet1!D11^0.8</f>
        <v>1.7411011265922482</v>
      </c>
      <c r="J11">
        <f ca="1">('预测 (2)'!C11*'预测 (2)'!D11+SUM($C$2:$C$11)-C11)/SUM(Sheet1!$D$2:$D$11)-计算区!$C$14</f>
        <v>1.8749999999999822E-2</v>
      </c>
      <c r="K11">
        <f t="shared" ca="1" si="1"/>
        <v>2.1170740781749595</v>
      </c>
      <c r="L11">
        <f t="shared" ca="1" si="2"/>
        <v>2117.0740781749596</v>
      </c>
      <c r="M11">
        <f t="shared" ca="1" si="3"/>
        <v>1.3129388104891835</v>
      </c>
      <c r="N11">
        <f t="shared" ca="1" si="0"/>
        <v>13</v>
      </c>
      <c r="O11">
        <f t="shared" ca="1" si="0"/>
        <v>131</v>
      </c>
      <c r="P11">
        <f t="shared" ca="1" si="0"/>
        <v>1313</v>
      </c>
      <c r="Q11">
        <f t="shared" ca="1" si="4"/>
        <v>1</v>
      </c>
      <c r="S11">
        <f ca="1">P11/Sheet1!L11*(Sheet1!J11-Sheet1!G11)*3</f>
        <v>745.46801551432327</v>
      </c>
    </row>
    <row r="12" spans="1:19" x14ac:dyDescent="0.25">
      <c r="F12">
        <f>AVERAGE(F2:F11)</f>
        <v>10</v>
      </c>
    </row>
    <row r="14" spans="1:19" x14ac:dyDescent="0.25">
      <c r="B14">
        <f ca="1">SUM(B2:B11)/SUM(Sheet1!D2:D11)</f>
        <v>87.649675875589992</v>
      </c>
      <c r="C14">
        <f ca="1">SUM(C2:C11)/SUM(Sheet1!D2:D11)</f>
        <v>3.1624999999999996</v>
      </c>
    </row>
  </sheetData>
  <sheetProtection selectLockedCells="1" selectUnlockedCells="1"/>
  <phoneticPr fontId="1" type="noConversion"/>
  <conditionalFormatting sqref="Q2:Q12">
    <cfRule type="top10" dxfId="19" priority="2" rank="3"/>
  </conditionalFormatting>
  <conditionalFormatting sqref="P2:P12">
    <cfRule type="top10" dxfId="18" priority="1" rank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9BE1-353A-40F8-A7AE-959E58411B22}">
  <sheetPr codeName="Sheet3"/>
  <dimension ref="A1:H14"/>
  <sheetViews>
    <sheetView workbookViewId="0">
      <selection activeCell="I23" sqref="I23"/>
    </sheetView>
  </sheetViews>
  <sheetFormatPr defaultRowHeight="13.8" x14ac:dyDescent="0.25"/>
  <sheetData>
    <row r="1" spans="1:8" x14ac:dyDescent="0.25">
      <c r="B1" t="s">
        <v>10</v>
      </c>
      <c r="C1" t="s">
        <v>11</v>
      </c>
      <c r="D1" t="s">
        <v>13</v>
      </c>
      <c r="E1" t="s">
        <v>26</v>
      </c>
      <c r="F1" t="s">
        <v>27</v>
      </c>
    </row>
    <row r="2" spans="1:8" x14ac:dyDescent="0.25">
      <c r="A2" t="s">
        <v>0</v>
      </c>
      <c r="B2">
        <f ca="1">E2</f>
        <v>80.430551703776359</v>
      </c>
      <c r="C2">
        <f ca="1">IF(B2&lt;60,0,IF(B2&lt;63,0.7,IF(B2&lt;67,1,IF(B2&lt;70,1.3,IF(B2&lt;73,1.7,IF(B2&lt;77,2,IF(B2&lt;80,2.3,IF(B2&lt;83,2.7,IF(B2&lt;87,3,IF(B2&lt;90,3.3,IF(B2&lt;93,3.7,4)))))))))))</f>
        <v>2.7</v>
      </c>
      <c r="D2">
        <v>5</v>
      </c>
      <c r="E2">
        <f ca="1">RAND()*30+70</f>
        <v>80.430551703776359</v>
      </c>
      <c r="F2">
        <f ca="1">B2-E2</f>
        <v>0</v>
      </c>
      <c r="H2">
        <f ca="1">(B2-E2*0.6)/0.4</f>
        <v>80.430551703776359</v>
      </c>
    </row>
    <row r="3" spans="1:8" x14ac:dyDescent="0.25">
      <c r="A3" t="s">
        <v>1</v>
      </c>
      <c r="B3">
        <f t="shared" ref="B3:B11" ca="1" si="0">E3</f>
        <v>76.707845834071236</v>
      </c>
      <c r="C3">
        <f t="shared" ref="C3:C11" ca="1" si="1">IF(B3&lt;60,0,IF(B3&lt;63,0.7,IF(B3&lt;67,1,IF(B3&lt;70,1.3,IF(B3&lt;73,1.7,IF(B3&lt;77,2,IF(B3&lt;80,2.3,IF(B3&lt;83,2.7,IF(B3&lt;87,3,IF(B3&lt;90,3.3,IF(B3&lt;93,3.7,4)))))))))))</f>
        <v>2</v>
      </c>
      <c r="D3">
        <v>6</v>
      </c>
      <c r="E3">
        <f t="shared" ref="E3:E11" ca="1" si="2">RAND()*30+70</f>
        <v>76.707845834071236</v>
      </c>
      <c r="F3">
        <f t="shared" ref="F3:F11" ca="1" si="3">B3-E3</f>
        <v>0</v>
      </c>
      <c r="H3">
        <f t="shared" ref="H3:H11" ca="1" si="4">(B3-E3*0.6)/0.4</f>
        <v>76.707845834071236</v>
      </c>
    </row>
    <row r="4" spans="1:8" x14ac:dyDescent="0.25">
      <c r="A4" t="s">
        <v>2</v>
      </c>
      <c r="B4">
        <f t="shared" ca="1" si="0"/>
        <v>91.491519913268178</v>
      </c>
      <c r="C4">
        <f t="shared" ca="1" si="1"/>
        <v>3.7</v>
      </c>
      <c r="D4">
        <v>2</v>
      </c>
      <c r="E4">
        <f t="shared" ca="1" si="2"/>
        <v>91.491519913268178</v>
      </c>
      <c r="F4">
        <f t="shared" ca="1" si="3"/>
        <v>0</v>
      </c>
      <c r="H4">
        <f t="shared" ca="1" si="4"/>
        <v>91.491519913268178</v>
      </c>
    </row>
    <row r="5" spans="1:8" x14ac:dyDescent="0.25">
      <c r="A5" t="s">
        <v>3</v>
      </c>
      <c r="B5">
        <f t="shared" ca="1" si="0"/>
        <v>94.230772680843302</v>
      </c>
      <c r="C5">
        <f t="shared" ca="1" si="1"/>
        <v>4</v>
      </c>
      <c r="D5">
        <v>3</v>
      </c>
      <c r="E5">
        <f t="shared" ca="1" si="2"/>
        <v>94.230772680843302</v>
      </c>
      <c r="F5">
        <f t="shared" ca="1" si="3"/>
        <v>0</v>
      </c>
      <c r="H5">
        <f t="shared" ca="1" si="4"/>
        <v>94.230772680843302</v>
      </c>
    </row>
    <row r="6" spans="1:8" x14ac:dyDescent="0.25">
      <c r="A6" t="s">
        <v>4</v>
      </c>
      <c r="B6">
        <f t="shared" ca="1" si="0"/>
        <v>83.166172002991559</v>
      </c>
      <c r="C6">
        <f t="shared" ca="1" si="1"/>
        <v>3</v>
      </c>
      <c r="D6">
        <v>3</v>
      </c>
      <c r="E6">
        <f t="shared" ca="1" si="2"/>
        <v>83.166172002991559</v>
      </c>
      <c r="F6">
        <f t="shared" ca="1" si="3"/>
        <v>0</v>
      </c>
      <c r="H6">
        <f t="shared" ca="1" si="4"/>
        <v>83.166172002991559</v>
      </c>
    </row>
    <row r="7" spans="1:8" x14ac:dyDescent="0.25">
      <c r="A7" t="s">
        <v>5</v>
      </c>
      <c r="B7">
        <f t="shared" ca="1" si="0"/>
        <v>98.095486976365748</v>
      </c>
      <c r="C7">
        <f t="shared" ca="1" si="1"/>
        <v>4</v>
      </c>
      <c r="D7">
        <v>3</v>
      </c>
      <c r="E7">
        <f t="shared" ca="1" si="2"/>
        <v>98.095486976365748</v>
      </c>
      <c r="F7">
        <f t="shared" ca="1" si="3"/>
        <v>0</v>
      </c>
      <c r="H7">
        <f t="shared" ca="1" si="4"/>
        <v>98.095486976365748</v>
      </c>
    </row>
    <row r="8" spans="1:8" x14ac:dyDescent="0.25">
      <c r="A8" t="s">
        <v>6</v>
      </c>
      <c r="B8">
        <f t="shared" ca="1" si="0"/>
        <v>73.87792994735598</v>
      </c>
      <c r="C8">
        <f t="shared" ca="1" si="1"/>
        <v>2</v>
      </c>
      <c r="D8">
        <v>3</v>
      </c>
      <c r="E8">
        <f t="shared" ca="1" si="2"/>
        <v>73.87792994735598</v>
      </c>
      <c r="F8">
        <f t="shared" ca="1" si="3"/>
        <v>0</v>
      </c>
      <c r="H8">
        <f t="shared" ca="1" si="4"/>
        <v>73.87792994735598</v>
      </c>
    </row>
    <row r="9" spans="1:8" x14ac:dyDescent="0.25">
      <c r="A9" t="s">
        <v>7</v>
      </c>
      <c r="B9">
        <f t="shared" ca="1" si="0"/>
        <v>78.110098555043791</v>
      </c>
      <c r="C9">
        <f t="shared" ca="1" si="1"/>
        <v>2.2999999999999998</v>
      </c>
      <c r="D9">
        <v>3</v>
      </c>
      <c r="E9">
        <f t="shared" ca="1" si="2"/>
        <v>78.110098555043791</v>
      </c>
      <c r="F9">
        <f t="shared" ca="1" si="3"/>
        <v>0</v>
      </c>
      <c r="H9">
        <f t="shared" ca="1" si="4"/>
        <v>78.110098555043777</v>
      </c>
    </row>
    <row r="10" spans="1:8" x14ac:dyDescent="0.25">
      <c r="A10" t="s">
        <v>8</v>
      </c>
      <c r="B10">
        <f t="shared" ca="1" si="0"/>
        <v>91.147690193964223</v>
      </c>
      <c r="C10">
        <f t="shared" ca="1" si="1"/>
        <v>3.7</v>
      </c>
      <c r="D10">
        <v>2</v>
      </c>
      <c r="E10">
        <f t="shared" ca="1" si="2"/>
        <v>91.147690193964223</v>
      </c>
      <c r="F10">
        <f t="shared" ca="1" si="3"/>
        <v>0</v>
      </c>
      <c r="H10">
        <f t="shared" ca="1" si="4"/>
        <v>91.147690193964223</v>
      </c>
    </row>
    <row r="11" spans="1:8" x14ac:dyDescent="0.25">
      <c r="A11" t="s">
        <v>9</v>
      </c>
      <c r="B11">
        <f t="shared" ca="1" si="0"/>
        <v>79.141789965430149</v>
      </c>
      <c r="C11">
        <f t="shared" ca="1" si="1"/>
        <v>2.2999999999999998</v>
      </c>
      <c r="D11">
        <v>2</v>
      </c>
      <c r="E11">
        <f t="shared" ca="1" si="2"/>
        <v>79.141789965430149</v>
      </c>
      <c r="F11">
        <f t="shared" ca="1" si="3"/>
        <v>0</v>
      </c>
      <c r="H11">
        <f t="shared" ca="1" si="4"/>
        <v>79.141789965430149</v>
      </c>
    </row>
    <row r="13" spans="1:8" x14ac:dyDescent="0.25">
      <c r="A13" t="s">
        <v>12</v>
      </c>
      <c r="B13">
        <f ca="1">AVERAGE(B2:B11)</f>
        <v>84.639985777311054</v>
      </c>
      <c r="C13">
        <f t="shared" ref="C13" ca="1" si="5">AVERAGE(C2:C11)</f>
        <v>2.9699999999999998</v>
      </c>
      <c r="F13">
        <f ca="1">SUM(F2:F11)</f>
        <v>0</v>
      </c>
    </row>
    <row r="14" spans="1:8" x14ac:dyDescent="0.25">
      <c r="A14" t="s">
        <v>14</v>
      </c>
      <c r="B14">
        <f ca="1">'计算区 预测'!B14</f>
        <v>83.387600442388617</v>
      </c>
      <c r="C14">
        <f ca="1">'计算区 预测'!C14</f>
        <v>2.8375000000000004</v>
      </c>
    </row>
  </sheetData>
  <phoneticPr fontId="1" type="noConversion"/>
  <conditionalFormatting sqref="C23:C32">
    <cfRule type="expression" dxfId="17" priority="32">
      <formula>IF($J23=1,$A23)</formula>
    </cfRule>
  </conditionalFormatting>
  <conditionalFormatting sqref="J16:J25">
    <cfRule type="expression" dxfId="16" priority="30">
      <formula>IF($J16=1,$A16)</formula>
    </cfRule>
  </conditionalFormatting>
  <conditionalFormatting sqref="G15:G24">
    <cfRule type="expression" dxfId="15" priority="29">
      <formula>IF($J15=1,$A15)</formula>
    </cfRule>
  </conditionalFormatting>
  <conditionalFormatting sqref="B2:B11">
    <cfRule type="expression" dxfId="14" priority="14">
      <formula>IF($L2=1,$A2)</formula>
    </cfRule>
  </conditionalFormatting>
  <conditionalFormatting sqref="B2:B11">
    <cfRule type="cellIs" dxfId="13" priority="13" operator="between">
      <formula>60</formula>
      <formula>70</formula>
    </cfRule>
  </conditionalFormatting>
  <conditionalFormatting sqref="E2:E11">
    <cfRule type="expression" dxfId="1" priority="2">
      <formula>IF($L2=1,$A2)</formula>
    </cfRule>
  </conditionalFormatting>
  <conditionalFormatting sqref="E2:E11">
    <cfRule type="cellIs" dxfId="0" priority="1" operator="between">
      <formula>60</formula>
      <formula>70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B4AAE-B005-4D60-B6A7-EBB66DF7FF45}">
  <sheetPr codeName="Sheet5"/>
  <dimension ref="A1:D14"/>
  <sheetViews>
    <sheetView workbookViewId="0">
      <selection activeCell="B14" sqref="B14"/>
    </sheetView>
  </sheetViews>
  <sheetFormatPr defaultRowHeight="13.8" x14ac:dyDescent="0.25"/>
  <sheetData>
    <row r="1" spans="1:4" x14ac:dyDescent="0.25">
      <c r="B1" t="s">
        <v>10</v>
      </c>
      <c r="C1" t="s">
        <v>11</v>
      </c>
      <c r="D1" t="s">
        <v>13</v>
      </c>
    </row>
    <row r="2" spans="1:4" x14ac:dyDescent="0.25">
      <c r="A2" t="s">
        <v>0</v>
      </c>
      <c r="B2">
        <f ca="1">Sheet1!I2</f>
        <v>83</v>
      </c>
      <c r="C2">
        <f ca="1">IF(B2&lt;60,0,IF(B2&lt;63,0.7,IF(B2&lt;67,1,IF(B2&lt;70,1.3,IF(B2&lt;73,1.7,IF(B2&lt;77,2,IF(B2&lt;80,2.3,IF(B2&lt;83,2.7,IF(B2&lt;87,3,IF(B2&lt;90,3.3,IF(B2&lt;93,3.7,4)))))))))))</f>
        <v>3</v>
      </c>
      <c r="D2">
        <f>Sheet1!D2</f>
        <v>5</v>
      </c>
    </row>
    <row r="3" spans="1:4" x14ac:dyDescent="0.25">
      <c r="A3" t="s">
        <v>1</v>
      </c>
      <c r="B3">
        <f ca="1">Sheet1!I3</f>
        <v>90</v>
      </c>
      <c r="C3">
        <f t="shared" ref="C3:C11" ca="1" si="0">IF(B3&lt;60,0,IF(B3&lt;63,0.7,IF(B3&lt;67,1,IF(B3&lt;70,1.3,IF(B3&lt;73,1.7,IF(B3&lt;77,2,IF(B3&lt;80,2.3,IF(B3&lt;83,2.7,IF(B3&lt;87,3,IF(B3&lt;90,3.3,IF(B3&lt;93,3.7,4)))))))))))</f>
        <v>3.7</v>
      </c>
      <c r="D3">
        <f>Sheet1!D3</f>
        <v>6</v>
      </c>
    </row>
    <row r="4" spans="1:4" x14ac:dyDescent="0.25">
      <c r="A4" t="s">
        <v>2</v>
      </c>
      <c r="B4">
        <f ca="1">Sheet1!I4</f>
        <v>77</v>
      </c>
      <c r="C4">
        <f t="shared" ca="1" si="0"/>
        <v>2.2999999999999998</v>
      </c>
      <c r="D4">
        <f>Sheet1!D4</f>
        <v>2</v>
      </c>
    </row>
    <row r="5" spans="1:4" x14ac:dyDescent="0.25">
      <c r="A5" t="s">
        <v>3</v>
      </c>
      <c r="B5">
        <f ca="1">Sheet1!I5</f>
        <v>77</v>
      </c>
      <c r="C5">
        <f t="shared" ca="1" si="0"/>
        <v>2.2999999999999998</v>
      </c>
      <c r="D5">
        <f>Sheet1!D5</f>
        <v>3</v>
      </c>
    </row>
    <row r="6" spans="1:4" x14ac:dyDescent="0.25">
      <c r="A6" t="s">
        <v>4</v>
      </c>
      <c r="B6">
        <f ca="1">Sheet1!I6</f>
        <v>100</v>
      </c>
      <c r="C6">
        <f t="shared" ca="1" si="0"/>
        <v>4</v>
      </c>
      <c r="D6">
        <f>Sheet1!D6</f>
        <v>3</v>
      </c>
    </row>
    <row r="7" spans="1:4" x14ac:dyDescent="0.25">
      <c r="A7" t="s">
        <v>5</v>
      </c>
      <c r="B7">
        <f ca="1">Sheet1!I7</f>
        <v>100</v>
      </c>
      <c r="C7">
        <f t="shared" ca="1" si="0"/>
        <v>4</v>
      </c>
      <c r="D7">
        <f>Sheet1!D7</f>
        <v>3</v>
      </c>
    </row>
    <row r="8" spans="1:4" x14ac:dyDescent="0.25">
      <c r="A8" t="s">
        <v>6</v>
      </c>
      <c r="B8">
        <f ca="1">Sheet1!I8</f>
        <v>100</v>
      </c>
      <c r="C8">
        <f t="shared" ca="1" si="0"/>
        <v>4</v>
      </c>
      <c r="D8">
        <f>Sheet1!D8</f>
        <v>3</v>
      </c>
    </row>
    <row r="9" spans="1:4" x14ac:dyDescent="0.25">
      <c r="A9" t="s">
        <v>7</v>
      </c>
      <c r="B9">
        <f ca="1">Sheet1!I9</f>
        <v>90</v>
      </c>
      <c r="C9">
        <f t="shared" ca="1" si="0"/>
        <v>3.7</v>
      </c>
      <c r="D9">
        <f>Sheet1!D9</f>
        <v>3</v>
      </c>
    </row>
    <row r="10" spans="1:4" x14ac:dyDescent="0.25">
      <c r="A10" t="s">
        <v>8</v>
      </c>
      <c r="B10">
        <f ca="1">Sheet1!I10</f>
        <v>90</v>
      </c>
      <c r="C10">
        <f t="shared" ca="1" si="0"/>
        <v>3.7</v>
      </c>
      <c r="D10">
        <f>Sheet1!D10</f>
        <v>2</v>
      </c>
    </row>
    <row r="11" spans="1:4" x14ac:dyDescent="0.25">
      <c r="A11" t="s">
        <v>9</v>
      </c>
      <c r="B11">
        <f ca="1">Sheet1!I11</f>
        <v>83</v>
      </c>
      <c r="C11">
        <f t="shared" ca="1" si="0"/>
        <v>3</v>
      </c>
      <c r="D11">
        <f>Sheet1!D11</f>
        <v>2</v>
      </c>
    </row>
    <row r="13" spans="1:4" x14ac:dyDescent="0.25">
      <c r="A13" t="s">
        <v>12</v>
      </c>
      <c r="B13">
        <f ca="1">AVERAGE(B2:B11)</f>
        <v>89</v>
      </c>
      <c r="C13">
        <f t="shared" ref="C13" ca="1" si="1">AVERAGE(C2:C11)</f>
        <v>3.37</v>
      </c>
    </row>
    <row r="14" spans="1:4" x14ac:dyDescent="0.25">
      <c r="A14" t="s">
        <v>14</v>
      </c>
      <c r="B14">
        <f ca="1">'计算区 预测'!B14</f>
        <v>83.387600442388617</v>
      </c>
      <c r="C14">
        <f ca="1">'计算区 预测'!C14</f>
        <v>2.8375000000000004</v>
      </c>
    </row>
  </sheetData>
  <phoneticPr fontId="1" type="noConversion"/>
  <conditionalFormatting sqref="C23:C32">
    <cfRule type="expression" dxfId="10" priority="4">
      <formula>IF($J23=1,$A23)</formula>
    </cfRule>
  </conditionalFormatting>
  <conditionalFormatting sqref="J16:J25">
    <cfRule type="expression" dxfId="9" priority="3">
      <formula>IF($J16=1,$A16)</formula>
    </cfRule>
  </conditionalFormatting>
  <conditionalFormatting sqref="G15:G24">
    <cfRule type="expression" dxfId="8" priority="2">
      <formula>IF($J15=1,$A15)</formula>
    </cfRule>
  </conditionalFormatting>
  <conditionalFormatting sqref="B2:B11">
    <cfRule type="expression" dxfId="7" priority="1">
      <formula>IF($J2=1,$A2)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A8FEF-3FB1-4482-89A2-96CBE52108E6}">
  <sheetPr codeName="Sheet4"/>
  <dimension ref="A1:S14"/>
  <sheetViews>
    <sheetView workbookViewId="0">
      <pane xSplit="1" topLeftCell="B1" activePane="topRight" state="frozen"/>
      <selection pane="topRight" activeCell="F9" sqref="F9"/>
    </sheetView>
  </sheetViews>
  <sheetFormatPr defaultRowHeight="13.8" x14ac:dyDescent="0.25"/>
  <cols>
    <col min="7" max="7" width="13.109375" bestFit="1" customWidth="1"/>
    <col min="10" max="12" width="15.5546875" customWidth="1"/>
    <col min="13" max="13" width="13.109375" bestFit="1" customWidth="1"/>
  </cols>
  <sheetData>
    <row r="1" spans="1:19" x14ac:dyDescent="0.25">
      <c r="F1" t="s">
        <v>29</v>
      </c>
      <c r="G1" t="s">
        <v>15</v>
      </c>
      <c r="H1" t="s">
        <v>28</v>
      </c>
      <c r="I1" t="s">
        <v>13</v>
      </c>
      <c r="J1" t="s">
        <v>23</v>
      </c>
      <c r="K1" t="s">
        <v>24</v>
      </c>
      <c r="M1" t="s">
        <v>16</v>
      </c>
      <c r="N1">
        <v>1</v>
      </c>
      <c r="O1">
        <v>2</v>
      </c>
      <c r="P1">
        <v>3</v>
      </c>
    </row>
    <row r="2" spans="1:19" x14ac:dyDescent="0.25">
      <c r="A2" t="s">
        <v>0</v>
      </c>
      <c r="B2">
        <f ca="1">预测!B2*预测!$D2</f>
        <v>402.1527585188818</v>
      </c>
      <c r="C2">
        <f ca="1">预测!C2*预测!$D2</f>
        <v>13.5</v>
      </c>
      <c r="F2">
        <v>10</v>
      </c>
      <c r="G2">
        <f ca="1">1/(Sheet1!B2-50)^2</f>
        <v>9.2832365861799022E-4</v>
      </c>
      <c r="H2">
        <f ca="1">Sheet1!L2</f>
        <v>0.1791147572110674</v>
      </c>
      <c r="I2">
        <f>Sheet1!D2^0.8</f>
        <v>3.6238983183884779</v>
      </c>
      <c r="J2">
        <f ca="1">('预测 (2)'!C2*'预测 (2)'!D2+SUM($C$2:$C$11)-C2)/SUM(Sheet1!$D$2:$D$11)-计算区!$C$14</f>
        <v>-0.27812499999999929</v>
      </c>
      <c r="K2">
        <f ca="1">G2*I2*1000*12/F2</f>
        <v>4.0369806544631688</v>
      </c>
      <c r="L2">
        <f ca="1">K2*1000</f>
        <v>4036.9806544631688</v>
      </c>
      <c r="M2">
        <f ca="1">G2*J2*100000/H2*(SQRT(12/F2))</f>
        <v>-157.90602509636756</v>
      </c>
      <c r="N2">
        <f t="shared" ref="N2:P11" ca="1" si="0">ROUND($M2,N$1)*10^N$1</f>
        <v>-1579</v>
      </c>
      <c r="O2">
        <f t="shared" ca="1" si="0"/>
        <v>-15791</v>
      </c>
      <c r="P2">
        <f t="shared" ca="1" si="0"/>
        <v>-157906</v>
      </c>
      <c r="Q2">
        <f ca="1">ROUND(N2/10,0)</f>
        <v>-158</v>
      </c>
      <c r="S2">
        <f ca="1">P2/Sheet1!L2*(Sheet1!J2-Sheet1!G2)*3</f>
        <v>-793432.11141744326</v>
      </c>
    </row>
    <row r="3" spans="1:19" x14ac:dyDescent="0.25">
      <c r="A3" t="s">
        <v>1</v>
      </c>
      <c r="B3">
        <f ca="1">预测!B3*预测!$D3</f>
        <v>460.24707500442742</v>
      </c>
      <c r="C3">
        <f ca="1">预测!C3*预测!$D3</f>
        <v>12</v>
      </c>
      <c r="F3">
        <v>3</v>
      </c>
      <c r="G3">
        <f ca="1">1/(Sheet1!B3-50)^2</f>
        <v>6.6559829229591056E-4</v>
      </c>
      <c r="H3">
        <f ca="1">Sheet1!L3</f>
        <v>1.2390957171665207</v>
      </c>
      <c r="I3">
        <f>Sheet1!D3^0.8</f>
        <v>4.192962712629476</v>
      </c>
      <c r="J3">
        <f ca="1">('预测 (2)'!C3*'预测 (2)'!D3+SUM($C$2:$C$11)-C3)/SUM(Sheet1!$D$2:$D$11)-计算区!$C$14</f>
        <v>-6.2499999999992006E-3</v>
      </c>
      <c r="K3">
        <f t="shared" ref="K3:K11" ca="1" si="1">G3*I3*1000*12/F3</f>
        <v>11.163315284746432</v>
      </c>
      <c r="L3">
        <f t="shared" ref="L3:L11" ca="1" si="2">K3*1000</f>
        <v>11163.315284746432</v>
      </c>
      <c r="M3">
        <f t="shared" ref="M3:M11" ca="1" si="3">G3*J3*100000/H3*(SQRT(12/F3))</f>
        <v>-0.67145568646814269</v>
      </c>
      <c r="N3">
        <f t="shared" ca="1" si="0"/>
        <v>-7</v>
      </c>
      <c r="O3">
        <f t="shared" ca="1" si="0"/>
        <v>-67</v>
      </c>
      <c r="P3">
        <f t="shared" ca="1" si="0"/>
        <v>-671</v>
      </c>
      <c r="Q3">
        <f t="shared" ref="Q3:Q11" ca="1" si="4">ROUND(N3/10,0)</f>
        <v>-1</v>
      </c>
      <c r="S3">
        <f ca="1">P3/Sheet1!L3*(Sheet1!J3-Sheet1!G3)*3</f>
        <v>-649.82873303870099</v>
      </c>
    </row>
    <row r="4" spans="1:19" x14ac:dyDescent="0.25">
      <c r="A4" t="s">
        <v>2</v>
      </c>
      <c r="B4">
        <f ca="1">预测!B4*预测!$D4</f>
        <v>182.98303982653636</v>
      </c>
      <c r="C4">
        <f ca="1">预测!C4*预测!$D4</f>
        <v>7.4</v>
      </c>
      <c r="F4">
        <v>4</v>
      </c>
      <c r="G4">
        <f ca="1">1/(Sheet1!B4-50)^2</f>
        <v>1.4445872482846613E-3</v>
      </c>
      <c r="H4">
        <f ca="1">Sheet1!L4</f>
        <v>0.68955996890966276</v>
      </c>
      <c r="I4">
        <f>Sheet1!D4^0.8</f>
        <v>1.7411011265922482</v>
      </c>
      <c r="J4">
        <f ca="1">('预测 (2)'!C4*'预测 (2)'!D4+SUM($C$2:$C$11)-C4)/SUM(Sheet1!$D$2:$D$11)-计算区!$C$14</f>
        <v>-0.41249999999999964</v>
      </c>
      <c r="K4">
        <f t="shared" ca="1" si="1"/>
        <v>7.5455174563476577</v>
      </c>
      <c r="L4">
        <f t="shared" ca="1" si="2"/>
        <v>7545.5174563476576</v>
      </c>
      <c r="M4">
        <f t="shared" ca="1" si="3"/>
        <v>-149.67742936194327</v>
      </c>
      <c r="N4">
        <f t="shared" ca="1" si="0"/>
        <v>-1497</v>
      </c>
      <c r="O4">
        <f t="shared" ca="1" si="0"/>
        <v>-14968</v>
      </c>
      <c r="P4">
        <f ca="1">ROUND($M4,P$1)*10^P$1</f>
        <v>-149677</v>
      </c>
      <c r="Q4">
        <f t="shared" ca="1" si="4"/>
        <v>-150</v>
      </c>
      <c r="S4">
        <f ca="1">P4/Sheet1!L4*(Sheet1!J4-Sheet1!G4)*3</f>
        <v>-195355.45285931148</v>
      </c>
    </row>
    <row r="5" spans="1:19" x14ac:dyDescent="0.25">
      <c r="A5" t="s">
        <v>3</v>
      </c>
      <c r="B5">
        <f ca="1">预测!B5*预测!$D5</f>
        <v>282.69231804252991</v>
      </c>
      <c r="C5">
        <f ca="1">预测!C5*预测!$D5</f>
        <v>12</v>
      </c>
      <c r="F5">
        <v>10</v>
      </c>
      <c r="G5">
        <f ca="1">1/(Sheet1!B5-50)^2</f>
        <v>1.4537004209118094E-3</v>
      </c>
      <c r="H5">
        <f ca="1">Sheet1!L5</f>
        <v>0.77215901746734517</v>
      </c>
      <c r="I5">
        <f>Sheet1!D5^0.8</f>
        <v>2.4082246852806923</v>
      </c>
      <c r="J5">
        <f ca="1">('预测 (2)'!C5*'预测 (2)'!D5+SUM($C$2:$C$11)-C5)/SUM(Sheet1!$D$2:$D$11)-计算区!$C$14</f>
        <v>-0.48437499999999911</v>
      </c>
      <c r="K5">
        <f t="shared" ca="1" si="1"/>
        <v>4.2010046863713022</v>
      </c>
      <c r="L5">
        <f t="shared" ca="1" si="2"/>
        <v>4201.0046863713023</v>
      </c>
      <c r="M5">
        <f ca="1">G5*J5*100000/H5*(SQRT(12/F5))</f>
        <v>-99.894254800779024</v>
      </c>
      <c r="N5">
        <f t="shared" ca="1" si="0"/>
        <v>-999</v>
      </c>
      <c r="O5">
        <f t="shared" ca="1" si="0"/>
        <v>-9989</v>
      </c>
      <c r="P5">
        <f t="shared" ca="1" si="0"/>
        <v>-99894</v>
      </c>
      <c r="Q5">
        <f t="shared" ca="1" si="4"/>
        <v>-100</v>
      </c>
      <c r="S5">
        <f ca="1">P5/Sheet1!L5*(Sheet1!J5-Sheet1!G5)*3</f>
        <v>-116432.75279602889</v>
      </c>
    </row>
    <row r="6" spans="1:19" x14ac:dyDescent="0.25">
      <c r="A6" t="s">
        <v>4</v>
      </c>
      <c r="B6">
        <f ca="1">预测!B6*预测!$D6</f>
        <v>249.49851600897466</v>
      </c>
      <c r="C6">
        <f ca="1">预测!C6*预测!$D6</f>
        <v>9</v>
      </c>
      <c r="F6">
        <v>8</v>
      </c>
      <c r="G6">
        <f ca="1">1/(Sheet1!B6-50)^2</f>
        <v>4.1920171710048139E-4</v>
      </c>
      <c r="H6">
        <f ca="1">Sheet1!L6</f>
        <v>1.1585584577215826</v>
      </c>
      <c r="I6">
        <f>Sheet1!D6^0.8</f>
        <v>2.4082246852806923</v>
      </c>
      <c r="J6">
        <f ca="1">('预测 (2)'!C6*'预测 (2)'!D6+SUM($C$2:$C$11)-C6)/SUM(Sheet1!$D$2:$D$11)-计算区!$C$14</f>
        <v>-0.23124999999999929</v>
      </c>
      <c r="K6">
        <f t="shared" ca="1" si="1"/>
        <v>1.5142978848501487</v>
      </c>
      <c r="L6">
        <f t="shared" ca="1" si="2"/>
        <v>1514.2978848501486</v>
      </c>
      <c r="M6">
        <f t="shared" ca="1" si="3"/>
        <v>-10.247843202254405</v>
      </c>
      <c r="N6">
        <f t="shared" ca="1" si="0"/>
        <v>-102</v>
      </c>
      <c r="O6">
        <f t="shared" ca="1" si="0"/>
        <v>-1025</v>
      </c>
      <c r="P6">
        <f t="shared" ca="1" si="0"/>
        <v>-10248</v>
      </c>
      <c r="Q6">
        <f t="shared" ca="1" si="4"/>
        <v>-10</v>
      </c>
      <c r="S6">
        <f ca="1">P6/Sheet1!L6*(Sheet1!J6-Sheet1!G6)*3</f>
        <v>0</v>
      </c>
    </row>
    <row r="7" spans="1:19" x14ac:dyDescent="0.25">
      <c r="A7" t="s">
        <v>5</v>
      </c>
      <c r="B7">
        <f ca="1">预测!B7*预测!$D7</f>
        <v>294.28646092909725</v>
      </c>
      <c r="C7">
        <f ca="1">预测!C7*预测!$D7</f>
        <v>12</v>
      </c>
      <c r="F7">
        <v>15</v>
      </c>
      <c r="G7">
        <f ca="1">1/(Sheet1!B7-50)^2</f>
        <v>5.3114009375350121E-4</v>
      </c>
      <c r="H7">
        <f ca="1">Sheet1!L7</f>
        <v>6.6094198315861092</v>
      </c>
      <c r="I7">
        <f>Sheet1!D7^0.8</f>
        <v>2.4082246852806923</v>
      </c>
      <c r="J7">
        <f ca="1">('预测 (2)'!C7*'预测 (2)'!D7+SUM($C$2:$C$11)-C7)/SUM(Sheet1!$D$2:$D$11)-计算区!$C$14</f>
        <v>-0.32499999999999929</v>
      </c>
      <c r="K7">
        <f t="shared" ca="1" si="1"/>
        <v>1.0232837480955863</v>
      </c>
      <c r="L7">
        <f t="shared" ca="1" si="2"/>
        <v>1023.2837480955864</v>
      </c>
      <c r="M7">
        <f t="shared" ca="1" si="3"/>
        <v>-2.3360067919916845</v>
      </c>
      <c r="N7">
        <f t="shared" ca="1" si="0"/>
        <v>-23</v>
      </c>
      <c r="O7">
        <f t="shared" ca="1" si="0"/>
        <v>-234</v>
      </c>
      <c r="P7">
        <f t="shared" ca="1" si="0"/>
        <v>-2336</v>
      </c>
      <c r="Q7">
        <f t="shared" ca="1" si="4"/>
        <v>-2</v>
      </c>
      <c r="S7">
        <f ca="1">P7/Sheet1!L7*(Sheet1!J7-Sheet1!G7)*3</f>
        <v>0</v>
      </c>
    </row>
    <row r="8" spans="1:19" x14ac:dyDescent="0.25">
      <c r="A8" t="s">
        <v>6</v>
      </c>
      <c r="B8">
        <f ca="1">预测!B8*预测!$D8</f>
        <v>221.63378984206793</v>
      </c>
      <c r="C8">
        <f ca="1">预测!C8*预测!$D8</f>
        <v>6</v>
      </c>
      <c r="F8">
        <v>20</v>
      </c>
      <c r="G8">
        <f ca="1">1/(Sheet1!B8-50)^2</f>
        <v>4.1150372196786382E-4</v>
      </c>
      <c r="H8">
        <f ca="1">Sheet1!L8</f>
        <v>0.70383709370312886</v>
      </c>
      <c r="I8">
        <f>Sheet1!D8^0.8</f>
        <v>2.4082246852806923</v>
      </c>
      <c r="J8">
        <f ca="1">('预测 (2)'!C8*'预测 (2)'!D8+SUM($C$2:$C$11)-C8)/SUM(Sheet1!$D$2:$D$11)-计算区!$C$14</f>
        <v>-0.13749999999999929</v>
      </c>
      <c r="K8">
        <f t="shared" ca="1" si="1"/>
        <v>0.59459605279673544</v>
      </c>
      <c r="L8">
        <f t="shared" ca="1" si="2"/>
        <v>594.59605279673542</v>
      </c>
      <c r="M8">
        <f t="shared" ca="1" si="3"/>
        <v>-6.2270153987924557</v>
      </c>
      <c r="N8">
        <f t="shared" ca="1" si="0"/>
        <v>-62</v>
      </c>
      <c r="O8">
        <f t="shared" ca="1" si="0"/>
        <v>-623</v>
      </c>
      <c r="P8">
        <f t="shared" ca="1" si="0"/>
        <v>-6227</v>
      </c>
      <c r="Q8">
        <f t="shared" ca="1" si="4"/>
        <v>-6</v>
      </c>
      <c r="S8">
        <f ca="1">P8/Sheet1!L8*(Sheet1!J8-Sheet1!G8)*3</f>
        <v>0</v>
      </c>
    </row>
    <row r="9" spans="1:19" x14ac:dyDescent="0.25">
      <c r="A9" t="s">
        <v>7</v>
      </c>
      <c r="B9">
        <f ca="1">预测!B9*预测!$D9</f>
        <v>234.33029566513136</v>
      </c>
      <c r="C9">
        <f ca="1">预测!C9*预测!$D9</f>
        <v>6.8999999999999995</v>
      </c>
      <c r="F9">
        <v>20</v>
      </c>
      <c r="G9">
        <f ca="1">1/(Sheet1!B9-50)^2</f>
        <v>7.198125290539594E-4</v>
      </c>
      <c r="H9">
        <f ca="1">Sheet1!L9</f>
        <v>2.727347601174813</v>
      </c>
      <c r="I9">
        <f>Sheet1!D9^0.8</f>
        <v>2.4082246852806923</v>
      </c>
      <c r="J9">
        <f ca="1">('预测 (2)'!C9*'预测 (2)'!D9+SUM($C$2:$C$11)-C9)/SUM(Sheet1!$D$2:$D$11)-计算区!$C$14</f>
        <v>-0.19374999999999964</v>
      </c>
      <c r="K9">
        <f t="shared" ca="1" si="1"/>
        <v>1.0400821807452423</v>
      </c>
      <c r="L9">
        <f t="shared" ca="1" si="2"/>
        <v>1040.0821807452423</v>
      </c>
      <c r="M9">
        <f t="shared" ca="1" si="3"/>
        <v>-3.9609215938735383</v>
      </c>
      <c r="N9">
        <f t="shared" ca="1" si="0"/>
        <v>-40</v>
      </c>
      <c r="O9">
        <f t="shared" ca="1" si="0"/>
        <v>-396</v>
      </c>
      <c r="P9">
        <f t="shared" ca="1" si="0"/>
        <v>-3961</v>
      </c>
      <c r="Q9">
        <f t="shared" ca="1" si="4"/>
        <v>-4</v>
      </c>
      <c r="S9">
        <f ca="1">P9/Sheet1!L9*(Sheet1!J9-Sheet1!G9)*3</f>
        <v>-1742.7921537953393</v>
      </c>
    </row>
    <row r="10" spans="1:19" x14ac:dyDescent="0.25">
      <c r="A10" t="s">
        <v>8</v>
      </c>
      <c r="B10">
        <f ca="1">预测!B10*预测!$D10</f>
        <v>182.29538038792845</v>
      </c>
      <c r="C10">
        <f ca="1">预测!C10*预测!$D10</f>
        <v>7.4</v>
      </c>
      <c r="F10">
        <v>25</v>
      </c>
      <c r="G10">
        <f ca="1">1/(Sheet1!B10-50)^2</f>
        <v>6.6454500350302133E-4</v>
      </c>
      <c r="H10">
        <f ca="1">Sheet1!L10</f>
        <v>1.2083903011033073</v>
      </c>
      <c r="I10">
        <f>Sheet1!D10^0.8</f>
        <v>1.7411011265922482</v>
      </c>
      <c r="J10">
        <f ca="1">('预测 (2)'!C10*'预测 (2)'!D10+SUM($C$2:$C$11)-C10)/SUM(Sheet1!$D$2:$D$11)-计算区!$C$14</f>
        <v>-0.32499999999999929</v>
      </c>
      <c r="K10">
        <f t="shared" ca="1" si="1"/>
        <v>0.55537922604977263</v>
      </c>
      <c r="L10">
        <f t="shared" ca="1" si="2"/>
        <v>555.37922604977268</v>
      </c>
      <c r="M10">
        <f t="shared" ca="1" si="3"/>
        <v>-12.382865218398708</v>
      </c>
      <c r="N10">
        <f t="shared" ca="1" si="0"/>
        <v>-124</v>
      </c>
      <c r="O10">
        <f t="shared" ca="1" si="0"/>
        <v>-1238</v>
      </c>
      <c r="P10">
        <f t="shared" ca="1" si="0"/>
        <v>-12383</v>
      </c>
      <c r="Q10">
        <f t="shared" ca="1" si="4"/>
        <v>-12</v>
      </c>
      <c r="S10">
        <f ca="1">P10/Sheet1!L10*(Sheet1!J10-Sheet1!G10)*3</f>
        <v>-12297.020247872413</v>
      </c>
    </row>
    <row r="11" spans="1:19" x14ac:dyDescent="0.25">
      <c r="A11" t="s">
        <v>9</v>
      </c>
      <c r="B11">
        <f ca="1">预测!B11*预测!$D11</f>
        <v>158.2835799308603</v>
      </c>
      <c r="C11">
        <f ca="1">预测!C11*预测!$D11</f>
        <v>4.5999999999999996</v>
      </c>
      <c r="F11">
        <v>5</v>
      </c>
      <c r="G11">
        <f ca="1">1/(Sheet1!B11-50)^2</f>
        <v>1.0132831295860169E-3</v>
      </c>
      <c r="H11">
        <f ca="1">Sheet1!L11</f>
        <v>1.5851786735406819</v>
      </c>
      <c r="I11">
        <f>Sheet1!D11^0.8</f>
        <v>1.7411011265922482</v>
      </c>
      <c r="J11">
        <f ca="1">('预测 (2)'!C11*'预测 (2)'!D11+SUM($C$2:$C$11)-C11)/SUM(Sheet1!$D$2:$D$11)-计算区!$C$14</f>
        <v>-0.28124999999999911</v>
      </c>
      <c r="K11">
        <f t="shared" ca="1" si="1"/>
        <v>4.234148156349919</v>
      </c>
      <c r="L11">
        <f t="shared" ca="1" si="2"/>
        <v>4234.1481563499192</v>
      </c>
      <c r="M11">
        <f t="shared" ca="1" si="3"/>
        <v>-27.851638085397205</v>
      </c>
      <c r="N11">
        <f t="shared" ca="1" si="0"/>
        <v>-279</v>
      </c>
      <c r="O11">
        <f t="shared" ca="1" si="0"/>
        <v>-2785</v>
      </c>
      <c r="P11">
        <f t="shared" ca="1" si="0"/>
        <v>-27852</v>
      </c>
      <c r="Q11">
        <f t="shared" ca="1" si="4"/>
        <v>-28</v>
      </c>
      <c r="S11">
        <f ca="1">P11/Sheet1!L11*(Sheet1!J11-Sheet1!G11)*3</f>
        <v>-15813.233182105814</v>
      </c>
    </row>
    <row r="12" spans="1:19" x14ac:dyDescent="0.25">
      <c r="F12">
        <f>AVERAGE(F2:F11)</f>
        <v>12</v>
      </c>
    </row>
    <row r="14" spans="1:19" x14ac:dyDescent="0.25">
      <c r="B14">
        <f ca="1">SUM(B2:B11)/SUM(Sheet1!D2:D11)</f>
        <v>83.387600442388617</v>
      </c>
      <c r="C14">
        <f ca="1">SUM(C2:C11)/SUM(Sheet1!D2:D11)</f>
        <v>2.8375000000000004</v>
      </c>
    </row>
  </sheetData>
  <sheetProtection selectLockedCells="1" selectUnlockedCells="1"/>
  <phoneticPr fontId="1" type="noConversion"/>
  <conditionalFormatting sqref="Q2:Q12">
    <cfRule type="top10" dxfId="6" priority="2" rank="3"/>
  </conditionalFormatting>
  <conditionalFormatting sqref="P2:P12">
    <cfRule type="top10" dxfId="5" priority="1" rank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16D8-0533-4C09-A5AB-C3D293D84A15}">
  <sheetPr codeName="Sheet6"/>
  <dimension ref="A1:O14"/>
  <sheetViews>
    <sheetView workbookViewId="0">
      <pane xSplit="1" topLeftCell="B1" activePane="topRight" state="frozen"/>
      <selection pane="topRight" activeCell="B6" sqref="B6"/>
    </sheetView>
  </sheetViews>
  <sheetFormatPr defaultRowHeight="13.8" x14ac:dyDescent="0.25"/>
  <cols>
    <col min="7" max="7" width="13.109375" bestFit="1" customWidth="1"/>
    <col min="11" max="11" width="13.109375" bestFit="1" customWidth="1"/>
  </cols>
  <sheetData>
    <row r="1" spans="1:15" x14ac:dyDescent="0.25">
      <c r="G1" t="s">
        <v>15</v>
      </c>
      <c r="I1" t="s">
        <v>13</v>
      </c>
      <c r="K1" t="s">
        <v>16</v>
      </c>
      <c r="L1">
        <v>1</v>
      </c>
      <c r="M1">
        <v>2</v>
      </c>
      <c r="N1">
        <v>3</v>
      </c>
    </row>
    <row r="2" spans="1:15" x14ac:dyDescent="0.25">
      <c r="A2" t="s">
        <v>0</v>
      </c>
      <c r="B2">
        <f ca="1">'预测 (2)'!B2*'预测 (2)'!$D2</f>
        <v>415</v>
      </c>
      <c r="C2">
        <f ca="1">'预测 (2)'!C2*'预测 (2)'!$D2</f>
        <v>15</v>
      </c>
      <c r="G2">
        <f ca="1">1/(预测!B2-50)^1.5</f>
        <v>5.9571050784187826E-3</v>
      </c>
      <c r="I2">
        <f>预测!D2^0.8</f>
        <v>3.6238983183884779</v>
      </c>
      <c r="K2">
        <f ca="1">I2*G2*100</f>
        <v>2.1587943076145288</v>
      </c>
      <c r="L2">
        <f t="shared" ref="L2:N11" ca="1" si="0">ROUND($K2,L$1)*10^L$1</f>
        <v>22</v>
      </c>
      <c r="M2">
        <f t="shared" ca="1" si="0"/>
        <v>216</v>
      </c>
      <c r="N2">
        <f t="shared" ca="1" si="0"/>
        <v>2159</v>
      </c>
      <c r="O2">
        <f ca="1">ROUND(L2/10,0)</f>
        <v>2</v>
      </c>
    </row>
    <row r="3" spans="1:15" x14ac:dyDescent="0.25">
      <c r="A3" t="s">
        <v>1</v>
      </c>
      <c r="B3">
        <f ca="1">'预测 (2)'!B3*'预测 (2)'!$D3</f>
        <v>540</v>
      </c>
      <c r="C3">
        <f ca="1">'预测 (2)'!C3*'预测 (2)'!$D3</f>
        <v>22.200000000000003</v>
      </c>
      <c r="G3">
        <f ca="1">1/(预测!B3-50)^1.5</f>
        <v>7.2450553712398212E-3</v>
      </c>
      <c r="I3">
        <f>预测!D3^0.8</f>
        <v>4.192962712629476</v>
      </c>
      <c r="K3">
        <f ca="1">I3*G3*100</f>
        <v>3.0378247022544476</v>
      </c>
      <c r="L3">
        <f t="shared" ca="1" si="0"/>
        <v>30</v>
      </c>
      <c r="M3">
        <f t="shared" ca="1" si="0"/>
        <v>304</v>
      </c>
      <c r="N3">
        <f t="shared" ca="1" si="0"/>
        <v>3038</v>
      </c>
      <c r="O3">
        <f t="shared" ref="O3:O11" ca="1" si="1">ROUND(L3/10,0)</f>
        <v>3</v>
      </c>
    </row>
    <row r="4" spans="1:15" x14ac:dyDescent="0.25">
      <c r="A4" t="s">
        <v>2</v>
      </c>
      <c r="B4">
        <f ca="1">'预测 (2)'!B4*'预测 (2)'!$D4</f>
        <v>154</v>
      </c>
      <c r="C4">
        <f ca="1">'预测 (2)'!C4*'预测 (2)'!$D4</f>
        <v>4.5999999999999996</v>
      </c>
      <c r="G4">
        <f ca="1">1/(预测!B4-50)^1.5</f>
        <v>3.7416312468936718E-3</v>
      </c>
      <c r="I4">
        <f>预测!D4^0.8</f>
        <v>1.7411011265922482</v>
      </c>
      <c r="K4">
        <f t="shared" ref="K4:K11" ca="1" si="2">I4*G4*100</f>
        <v>0.65145583792593309</v>
      </c>
      <c r="L4">
        <f t="shared" ca="1" si="0"/>
        <v>7</v>
      </c>
      <c r="M4">
        <f t="shared" ca="1" si="0"/>
        <v>65</v>
      </c>
      <c r="N4">
        <f t="shared" ca="1" si="0"/>
        <v>651</v>
      </c>
      <c r="O4">
        <f t="shared" ca="1" si="1"/>
        <v>1</v>
      </c>
    </row>
    <row r="5" spans="1:15" x14ac:dyDescent="0.25">
      <c r="A5" t="s">
        <v>3</v>
      </c>
      <c r="B5">
        <f ca="1">'预测 (2)'!B5*'预测 (2)'!$D5</f>
        <v>231</v>
      </c>
      <c r="C5">
        <f ca="1">'预测 (2)'!C5*'预测 (2)'!$D5</f>
        <v>6.8999999999999995</v>
      </c>
      <c r="G5">
        <f ca="1">1/(预测!B5-50)^1.5</f>
        <v>3.3994856371140541E-3</v>
      </c>
      <c r="I5">
        <f>预测!D5^0.8</f>
        <v>2.4082246852806923</v>
      </c>
      <c r="K5">
        <f t="shared" ca="1" si="2"/>
        <v>0.81867252285552272</v>
      </c>
      <c r="L5">
        <f t="shared" ca="1" si="0"/>
        <v>8</v>
      </c>
      <c r="M5">
        <f t="shared" ca="1" si="0"/>
        <v>82</v>
      </c>
      <c r="N5">
        <f t="shared" ca="1" si="0"/>
        <v>819</v>
      </c>
      <c r="O5">
        <f t="shared" ca="1" si="1"/>
        <v>1</v>
      </c>
    </row>
    <row r="6" spans="1:15" x14ac:dyDescent="0.25">
      <c r="A6" t="s">
        <v>4</v>
      </c>
      <c r="B6">
        <f ca="1">'预测 (2)'!B6*'预测 (2)'!$D6</f>
        <v>300</v>
      </c>
      <c r="C6">
        <f ca="1">'预测 (2)'!C6*'预测 (2)'!$D6</f>
        <v>12</v>
      </c>
      <c r="G6">
        <f ca="1">1/(预测!B6-50)^1.5</f>
        <v>5.2354856907851546E-3</v>
      </c>
      <c r="I6">
        <f>预测!D6^0.8</f>
        <v>2.4082246852806923</v>
      </c>
      <c r="K6">
        <f t="shared" ca="1" si="2"/>
        <v>1.2608225879982646</v>
      </c>
      <c r="L6">
        <f t="shared" ca="1" si="0"/>
        <v>13</v>
      </c>
      <c r="M6">
        <f t="shared" ca="1" si="0"/>
        <v>126</v>
      </c>
      <c r="N6">
        <f t="shared" ca="1" si="0"/>
        <v>1261</v>
      </c>
      <c r="O6">
        <f t="shared" ca="1" si="1"/>
        <v>1</v>
      </c>
    </row>
    <row r="7" spans="1:15" x14ac:dyDescent="0.25">
      <c r="A7" t="s">
        <v>5</v>
      </c>
      <c r="B7">
        <f ca="1">'预测 (2)'!B7*'预测 (2)'!$D7</f>
        <v>300</v>
      </c>
      <c r="C7">
        <f ca="1">'预测 (2)'!C7*'预测 (2)'!$D7</f>
        <v>12</v>
      </c>
      <c r="G7">
        <f ca="1">1/(预测!B7-50)^1.5</f>
        <v>2.9980820234634317E-3</v>
      </c>
      <c r="I7">
        <f>预测!D7^0.8</f>
        <v>2.4082246852806923</v>
      </c>
      <c r="K7">
        <f t="shared" ca="1" si="2"/>
        <v>0.72200551374009247</v>
      </c>
      <c r="L7">
        <f t="shared" ca="1" si="0"/>
        <v>7</v>
      </c>
      <c r="M7">
        <f t="shared" ca="1" si="0"/>
        <v>72</v>
      </c>
      <c r="N7">
        <f t="shared" ca="1" si="0"/>
        <v>722</v>
      </c>
      <c r="O7">
        <f t="shared" ca="1" si="1"/>
        <v>1</v>
      </c>
    </row>
    <row r="8" spans="1:15" x14ac:dyDescent="0.25">
      <c r="A8" t="s">
        <v>6</v>
      </c>
      <c r="B8">
        <f ca="1">'预测 (2)'!B8*'预测 (2)'!$D8</f>
        <v>300</v>
      </c>
      <c r="C8">
        <f ca="1">'预测 (2)'!C8*'预测 (2)'!$D8</f>
        <v>12</v>
      </c>
      <c r="G8">
        <f ca="1">1/(预测!B8-50)^1.5</f>
        <v>8.5704769136675119E-3</v>
      </c>
      <c r="I8">
        <f>预测!D8^0.8</f>
        <v>2.4082246852806923</v>
      </c>
      <c r="K8">
        <f t="shared" ca="1" si="2"/>
        <v>2.0639634068122383</v>
      </c>
      <c r="L8">
        <f t="shared" ca="1" si="0"/>
        <v>21</v>
      </c>
      <c r="M8">
        <f t="shared" ca="1" si="0"/>
        <v>206</v>
      </c>
      <c r="N8">
        <f t="shared" ca="1" si="0"/>
        <v>2064</v>
      </c>
      <c r="O8">
        <f t="shared" ca="1" si="1"/>
        <v>2</v>
      </c>
    </row>
    <row r="9" spans="1:15" x14ac:dyDescent="0.25">
      <c r="A9" t="s">
        <v>7</v>
      </c>
      <c r="B9">
        <f ca="1">'预测 (2)'!B9*'预测 (2)'!$D9</f>
        <v>270</v>
      </c>
      <c r="C9">
        <f ca="1">'预测 (2)'!C9*'预测 (2)'!$D9</f>
        <v>11.100000000000001</v>
      </c>
      <c r="G9">
        <f ca="1">1/(预测!B9-50)^1.5</f>
        <v>6.7097516779375654E-3</v>
      </c>
      <c r="I9">
        <f>预测!D9^0.8</f>
        <v>2.4082246852806923</v>
      </c>
      <c r="K9">
        <f t="shared" ca="1" si="2"/>
        <v>1.6158589622912791</v>
      </c>
      <c r="L9">
        <f t="shared" ca="1" si="0"/>
        <v>16</v>
      </c>
      <c r="M9">
        <f t="shared" ca="1" si="0"/>
        <v>162</v>
      </c>
      <c r="N9">
        <f t="shared" ca="1" si="0"/>
        <v>1616</v>
      </c>
      <c r="O9">
        <f t="shared" ca="1" si="1"/>
        <v>2</v>
      </c>
    </row>
    <row r="10" spans="1:15" x14ac:dyDescent="0.25">
      <c r="A10" t="s">
        <v>8</v>
      </c>
      <c r="B10">
        <f ca="1">'预测 (2)'!B10*'预测 (2)'!$D10</f>
        <v>180</v>
      </c>
      <c r="C10">
        <f ca="1">'预测 (2)'!C10*'预测 (2)'!$D10</f>
        <v>7.4</v>
      </c>
      <c r="G10">
        <f ca="1">1/(预测!B10-50)^1.5</f>
        <v>3.7886266339874448E-3</v>
      </c>
      <c r="I10">
        <f>预测!D10^0.8</f>
        <v>1.7411011265922482</v>
      </c>
      <c r="K10">
        <f t="shared" ca="1" si="2"/>
        <v>0.65963821006729373</v>
      </c>
      <c r="L10">
        <f t="shared" ca="1" si="0"/>
        <v>7</v>
      </c>
      <c r="M10">
        <f t="shared" ca="1" si="0"/>
        <v>66</v>
      </c>
      <c r="N10">
        <f t="shared" ca="1" si="0"/>
        <v>660</v>
      </c>
      <c r="O10">
        <f t="shared" ca="1" si="1"/>
        <v>1</v>
      </c>
    </row>
    <row r="11" spans="1:15" x14ac:dyDescent="0.25">
      <c r="A11" t="s">
        <v>9</v>
      </c>
      <c r="B11">
        <f ca="1">'预测 (2)'!B11*'预测 (2)'!$D11</f>
        <v>166</v>
      </c>
      <c r="C11">
        <f ca="1">'预测 (2)'!C11*'预测 (2)'!$D11</f>
        <v>6</v>
      </c>
      <c r="G11">
        <f ca="1">1/(预测!B11-50)^1.5</f>
        <v>6.3566114281739215E-3</v>
      </c>
      <c r="I11">
        <f>预测!D11^0.8</f>
        <v>1.7411011265922482</v>
      </c>
      <c r="K11">
        <f t="shared" ca="1" si="2"/>
        <v>1.1067503318902776</v>
      </c>
      <c r="L11">
        <f t="shared" ca="1" si="0"/>
        <v>11</v>
      </c>
      <c r="M11">
        <f t="shared" ca="1" si="0"/>
        <v>111.00000000000001</v>
      </c>
      <c r="N11">
        <f t="shared" ca="1" si="0"/>
        <v>1107</v>
      </c>
      <c r="O11">
        <f t="shared" ca="1" si="1"/>
        <v>1</v>
      </c>
    </row>
    <row r="14" spans="1:15" x14ac:dyDescent="0.25">
      <c r="B14">
        <f ca="1">SUM(B2:B11)/SUM(预测!D2:D11)</f>
        <v>89.25</v>
      </c>
      <c r="C14">
        <f ca="1">SUM(C2:C11)/SUM(预测!D2:D11)</f>
        <v>3.4125000000000005</v>
      </c>
    </row>
  </sheetData>
  <sheetProtection selectLockedCells="1" selectUnlockedCells="1"/>
  <phoneticPr fontId="1" type="noConversion"/>
  <conditionalFormatting sqref="O2:O12">
    <cfRule type="top10" dxfId="4" priority="2" rank="3"/>
  </conditionalFormatting>
  <conditionalFormatting sqref="N2:N12">
    <cfRule type="top10" dxfId="3" priority="1" rank="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设置</vt:lpstr>
      <vt:lpstr>计算区</vt:lpstr>
      <vt:lpstr>预测</vt:lpstr>
      <vt:lpstr>预测 (2)</vt:lpstr>
      <vt:lpstr>计算区 预测</vt:lpstr>
      <vt:lpstr>计算区 预测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2015-06-05T18:19:34Z</dcterms:created>
  <dcterms:modified xsi:type="dcterms:W3CDTF">2023-06-10T06:34:28Z</dcterms:modified>
</cp:coreProperties>
</file>